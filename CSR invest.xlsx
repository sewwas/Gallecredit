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 tabRatio="859" activeTab="10"/>
  </bookViews>
  <sheets>
    <sheet name="Summery" sheetId="11" r:id="rId1"/>
    <sheet name="Month" sheetId="16" r:id="rId2"/>
    <sheet name="Daily" sheetId="6" r:id="rId3"/>
    <sheet name="Weekly" sheetId="8" r:id="rId4"/>
    <sheet name="Expences &amp; Other Income" sheetId="14" r:id="rId5"/>
    <sheet name="Profits" sheetId="19" r:id="rId6"/>
    <sheet name="Bank Account" sheetId="13" r:id="rId7"/>
    <sheet name="cash 2025.09.04" sheetId="12" r:id="rId8"/>
    <sheet name="Capital Edited" sheetId="18" r:id="rId9"/>
    <sheet name="Creditors" sheetId="21" r:id="rId10"/>
    <sheet name="Debtors" sheetId="4" r:id="rId11"/>
  </sheets>
  <calcPr calcId="144525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14" i="11" l="1"/>
  <c r="L11" i="21"/>
  <c r="L12" i="21" s="1"/>
  <c r="L13" i="21" s="1"/>
  <c r="L14" i="21" s="1"/>
  <c r="L15" i="21" s="1"/>
  <c r="L16" i="21" s="1"/>
  <c r="L17" i="21" s="1"/>
  <c r="L9" i="21"/>
  <c r="L10" i="21" s="1"/>
  <c r="L5" i="21"/>
  <c r="L6" i="21" s="1"/>
  <c r="L7" i="21" s="1"/>
  <c r="L8" i="21" s="1"/>
  <c r="L4" i="21"/>
  <c r="L3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3" i="21"/>
  <c r="J15" i="11"/>
  <c r="N8" i="8" l="1"/>
  <c r="N9" i="8"/>
  <c r="M8" i="8"/>
  <c r="M12" i="8"/>
  <c r="J8" i="8"/>
  <c r="L8" i="8" s="1"/>
  <c r="J9" i="8"/>
  <c r="L9" i="8" s="1"/>
  <c r="M9" i="8" s="1"/>
  <c r="J10" i="8"/>
  <c r="L10" i="8" s="1"/>
  <c r="N10" i="8" s="1"/>
  <c r="J11" i="8"/>
  <c r="L11" i="8" s="1"/>
  <c r="N11" i="8" s="1"/>
  <c r="J12" i="8"/>
  <c r="L12" i="8" s="1"/>
  <c r="N12" i="8" s="1"/>
  <c r="M11" i="8" l="1"/>
  <c r="M10" i="8"/>
  <c r="J16" i="11"/>
  <c r="F2" i="19" l="1"/>
  <c r="O6" i="14"/>
  <c r="O5" i="14"/>
  <c r="O4" i="14"/>
  <c r="O3" i="14"/>
  <c r="O2" i="14"/>
  <c r="B13" i="11" l="1"/>
  <c r="E18" i="11" s="1"/>
  <c r="B12" i="11"/>
  <c r="E16" i="11" s="1"/>
  <c r="F16" i="11" s="1"/>
  <c r="K14" i="11"/>
  <c r="O3" i="11"/>
  <c r="N3" i="11"/>
  <c r="M3" i="11"/>
  <c r="I8" i="11"/>
  <c r="H8" i="11"/>
  <c r="H9" i="11" s="1"/>
  <c r="G8" i="11"/>
  <c r="F8" i="11"/>
  <c r="F9" i="11" s="1"/>
  <c r="E8" i="11"/>
  <c r="J8" i="18"/>
  <c r="J7" i="18"/>
  <c r="J6" i="18"/>
  <c r="J5" i="18"/>
  <c r="J4" i="18"/>
  <c r="J3" i="18"/>
  <c r="K3" i="18" s="1"/>
  <c r="D8" i="11" l="1"/>
  <c r="D9" i="11" s="1"/>
  <c r="P3" i="11"/>
  <c r="K4" i="18"/>
  <c r="K5" i="18" s="1"/>
  <c r="K6" i="18" s="1"/>
  <c r="K7" i="18" s="1"/>
  <c r="K8" i="18" s="1"/>
  <c r="J3" i="11"/>
  <c r="E3" i="11"/>
  <c r="A3" i="11"/>
  <c r="B5" i="11" l="1"/>
  <c r="D10" i="11"/>
  <c r="J12" i="11" s="1"/>
  <c r="J17" i="11" s="1"/>
  <c r="K13" i="11"/>
  <c r="K15" i="11" s="1"/>
  <c r="K3" i="11"/>
  <c r="J5" i="16"/>
  <c r="H6" i="16"/>
  <c r="H5" i="16"/>
  <c r="I3" i="11" l="1"/>
  <c r="L3" i="11"/>
  <c r="J3" i="8" l="1"/>
  <c r="L3" i="8" s="1"/>
  <c r="M3" i="8" s="1"/>
  <c r="J4" i="8"/>
  <c r="L4" i="8" s="1"/>
  <c r="J5" i="8"/>
  <c r="L5" i="8" s="1"/>
  <c r="J6" i="8"/>
  <c r="L6" i="8" s="1"/>
  <c r="J7" i="8"/>
  <c r="L7" i="8" s="1"/>
  <c r="N7" i="8" s="1"/>
  <c r="J2" i="8"/>
  <c r="L2" i="8"/>
  <c r="N2" i="6"/>
  <c r="N4" i="6"/>
  <c r="N6" i="6"/>
  <c r="N8" i="6"/>
  <c r="N10" i="6"/>
  <c r="N12" i="6"/>
  <c r="K3" i="6"/>
  <c r="L3" i="6" s="1"/>
  <c r="K5" i="6"/>
  <c r="M5" i="6" s="1"/>
  <c r="K7" i="6"/>
  <c r="L7" i="6" s="1"/>
  <c r="K9" i="6"/>
  <c r="M9" i="6" s="1"/>
  <c r="K11" i="6"/>
  <c r="M11" i="6" s="1"/>
  <c r="K13" i="6"/>
  <c r="M13" i="6" s="1"/>
  <c r="O2" i="8"/>
  <c r="O4" i="8"/>
  <c r="G2" i="8"/>
  <c r="N6" i="8" l="1"/>
  <c r="M6" i="8"/>
  <c r="M7" i="8"/>
  <c r="F3" i="11"/>
  <c r="M5" i="8"/>
  <c r="M4" i="8"/>
  <c r="G3" i="11" s="1"/>
  <c r="N5" i="8"/>
  <c r="N4" i="8"/>
  <c r="N3" i="8"/>
  <c r="M2" i="8"/>
  <c r="N2" i="8"/>
  <c r="M3" i="6"/>
  <c r="L11" i="6"/>
  <c r="L13" i="6"/>
  <c r="L5" i="6"/>
  <c r="L9" i="6"/>
  <c r="M7" i="6"/>
  <c r="H3" i="11" l="1"/>
  <c r="T15" i="12" l="1"/>
  <c r="M13" i="12"/>
  <c r="M14" i="12"/>
  <c r="M15" i="12"/>
  <c r="M12" i="12"/>
  <c r="AB11" i="12" l="1"/>
  <c r="AB12" i="12"/>
  <c r="AB13" i="12"/>
  <c r="AB14" i="12"/>
  <c r="AB15" i="12"/>
  <c r="AB16" i="12"/>
  <c r="M11" i="12" l="1"/>
  <c r="AB10" i="12"/>
  <c r="M10" i="12"/>
  <c r="AB9" i="12"/>
  <c r="M9" i="12"/>
  <c r="AB8" i="12"/>
  <c r="M8" i="12"/>
  <c r="AB7" i="12"/>
  <c r="M7" i="12"/>
  <c r="AB6" i="12"/>
  <c r="M6" i="12"/>
  <c r="AB5" i="12"/>
  <c r="M5" i="12"/>
  <c r="AB4" i="12"/>
  <c r="M4" i="12"/>
  <c r="AB3" i="12"/>
  <c r="M3" i="12"/>
  <c r="AB2" i="12"/>
  <c r="M2" i="12"/>
  <c r="AC2" i="12" l="1"/>
  <c r="AC3" i="12" s="1"/>
  <c r="AC4" i="12" s="1"/>
  <c r="AC5" i="12" s="1"/>
  <c r="AC6" i="12" s="1"/>
  <c r="AC7" i="12" s="1"/>
  <c r="AC8" i="12" s="1"/>
  <c r="AC9" i="12" s="1"/>
  <c r="AC10" i="12" s="1"/>
  <c r="AC11" i="12" s="1"/>
  <c r="N2" i="12"/>
  <c r="N3" i="12" s="1"/>
  <c r="N4" i="12" s="1"/>
  <c r="N5" i="12" s="1"/>
  <c r="N6" i="12" s="1"/>
  <c r="N7" i="12" s="1"/>
  <c r="N8" i="12" s="1"/>
  <c r="N9" i="12" s="1"/>
  <c r="N10" i="12" s="1"/>
  <c r="N11" i="12" s="1"/>
  <c r="N12" i="12" s="1"/>
  <c r="N13" i="12" s="1"/>
  <c r="N14" i="12" s="1"/>
  <c r="N15" i="12" s="1"/>
  <c r="O2" i="6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AG2" i="6" s="1"/>
  <c r="AH2" i="6" s="1"/>
  <c r="AI2" i="6" s="1"/>
  <c r="AJ2" i="6" s="1"/>
  <c r="AK2" i="6" s="1"/>
  <c r="AL2" i="6" s="1"/>
  <c r="AM2" i="6" s="1"/>
  <c r="AN2" i="6" s="1"/>
  <c r="AO2" i="6" s="1"/>
  <c r="AP2" i="6" s="1"/>
  <c r="AQ2" i="6" s="1"/>
  <c r="AR2" i="6" s="1"/>
  <c r="AS2" i="6" s="1"/>
  <c r="AT2" i="6" s="1"/>
  <c r="AU2" i="6" s="1"/>
  <c r="AV2" i="6" s="1"/>
  <c r="AW2" i="6" s="1"/>
  <c r="AX2" i="6" s="1"/>
  <c r="AY2" i="6" s="1"/>
  <c r="F12" i="6"/>
  <c r="F10" i="6"/>
  <c r="F8" i="6"/>
  <c r="F6" i="6"/>
  <c r="F4" i="6"/>
  <c r="F2" i="6"/>
  <c r="AC12" i="12" l="1"/>
  <c r="AC13" i="12" s="1"/>
  <c r="AC14" i="12" s="1"/>
  <c r="AC15" i="12" s="1"/>
  <c r="J4" i="6" l="1"/>
  <c r="K4" i="6" s="1"/>
  <c r="J6" i="6"/>
  <c r="K6" i="6" s="1"/>
  <c r="J8" i="6"/>
  <c r="K8" i="6" s="1"/>
  <c r="J10" i="6"/>
  <c r="K10" i="6" s="1"/>
  <c r="J12" i="6"/>
  <c r="K12" i="6" s="1"/>
  <c r="C12" i="4"/>
  <c r="I11" i="4"/>
  <c r="K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EM11" i="4"/>
  <c r="EN11" i="4"/>
  <c r="EO11" i="4"/>
  <c r="EP11" i="4"/>
  <c r="EQ11" i="4"/>
  <c r="ER11" i="4"/>
  <c r="ES11" i="4"/>
  <c r="ET11" i="4"/>
  <c r="EU11" i="4"/>
  <c r="EV11" i="4"/>
  <c r="EW11" i="4"/>
  <c r="EX11" i="4"/>
  <c r="EY11" i="4"/>
  <c r="EZ11" i="4"/>
  <c r="FA11" i="4"/>
  <c r="FB11" i="4"/>
  <c r="FC11" i="4"/>
  <c r="FD11" i="4"/>
  <c r="FE11" i="4"/>
  <c r="FF11" i="4"/>
  <c r="FG11" i="4"/>
  <c r="FH11" i="4"/>
  <c r="FI11" i="4"/>
  <c r="FJ11" i="4"/>
  <c r="FK11" i="4"/>
  <c r="FL11" i="4"/>
  <c r="FM11" i="4"/>
  <c r="FN11" i="4"/>
  <c r="FO11" i="4"/>
  <c r="FP11" i="4"/>
  <c r="FQ11" i="4"/>
  <c r="FR11" i="4"/>
  <c r="FS11" i="4"/>
  <c r="FT11" i="4"/>
  <c r="FU11" i="4"/>
  <c r="FV11" i="4"/>
  <c r="FW11" i="4"/>
  <c r="FX11" i="4"/>
  <c r="FY11" i="4"/>
  <c r="FZ11" i="4"/>
  <c r="GA11" i="4"/>
  <c r="GB11" i="4"/>
  <c r="GC11" i="4"/>
  <c r="C11" i="4"/>
  <c r="F9" i="4"/>
  <c r="F11" i="4" s="1"/>
  <c r="G9" i="4"/>
  <c r="G11" i="4" s="1"/>
  <c r="H9" i="4"/>
  <c r="H11" i="4" s="1"/>
  <c r="I9" i="4"/>
  <c r="J9" i="4"/>
  <c r="J11" i="4" s="1"/>
  <c r="K9" i="4"/>
  <c r="L9" i="4"/>
  <c r="L11" i="4" s="1"/>
  <c r="M9" i="4"/>
  <c r="M11" i="4" s="1"/>
  <c r="E9" i="4"/>
  <c r="E11" i="4" s="1"/>
  <c r="D9" i="4"/>
  <c r="D11" i="4" s="1"/>
  <c r="C9" i="4"/>
  <c r="L10" i="6" l="1"/>
  <c r="M10" i="6"/>
  <c r="M8" i="6"/>
  <c r="L8" i="6"/>
  <c r="M6" i="6"/>
  <c r="L6" i="6"/>
  <c r="L4" i="6"/>
  <c r="M4" i="6"/>
  <c r="K2" i="6"/>
  <c r="L12" i="6"/>
  <c r="M12" i="6"/>
  <c r="M2" i="6" l="1"/>
  <c r="D3" i="11" s="1"/>
  <c r="B8" i="11" s="1"/>
  <c r="B11" i="11" s="1"/>
  <c r="B17" i="11" s="1"/>
  <c r="B21" i="11" s="1"/>
  <c r="L2" i="6"/>
  <c r="C3" i="11" s="1"/>
  <c r="F15" i="11" l="1"/>
  <c r="F17" i="11" s="1"/>
  <c r="B7" i="11"/>
  <c r="J18" i="11" l="1"/>
  <c r="J19" i="11" s="1"/>
  <c r="E15" i="11"/>
  <c r="E17" i="11" s="1"/>
  <c r="E19" i="11" s="1"/>
  <c r="B3" i="11"/>
  <c r="B6" i="11" s="1"/>
  <c r="B20" i="11" l="1"/>
  <c r="B22" i="11" s="1"/>
  <c r="J22" i="11"/>
</calcChain>
</file>

<file path=xl/sharedStrings.xml><?xml version="1.0" encoding="utf-8"?>
<sst xmlns="http://schemas.openxmlformats.org/spreadsheetml/2006/main" count="247" uniqueCount="141">
  <si>
    <t>Date</t>
  </si>
  <si>
    <t>Sumith</t>
  </si>
  <si>
    <t>Chamil</t>
  </si>
  <si>
    <t>Rajith</t>
  </si>
  <si>
    <t>CSR</t>
  </si>
  <si>
    <t>Total Investment</t>
  </si>
  <si>
    <t>Cumulative</t>
  </si>
  <si>
    <t>Total Out</t>
  </si>
  <si>
    <t>Cheqe In</t>
  </si>
  <si>
    <t>Daily Cash Balance</t>
  </si>
  <si>
    <t>Description</t>
  </si>
  <si>
    <t>Name</t>
  </si>
  <si>
    <t>T.P</t>
  </si>
  <si>
    <t>Isuue date</t>
  </si>
  <si>
    <t>Installment</t>
  </si>
  <si>
    <t>No of instolment</t>
  </si>
  <si>
    <t>Due date</t>
  </si>
  <si>
    <t>Loan Amount</t>
  </si>
  <si>
    <t>BH Suragani</t>
  </si>
  <si>
    <t>CID</t>
  </si>
  <si>
    <t>BH Shiryani</t>
  </si>
  <si>
    <t>KBTD Chamani</t>
  </si>
  <si>
    <t>K A Prasanna</t>
  </si>
  <si>
    <t>H A Nandasena</t>
  </si>
  <si>
    <t>Weekly</t>
  </si>
  <si>
    <t>Daily</t>
  </si>
  <si>
    <t>Interest Rate</t>
  </si>
  <si>
    <t>Total Payments</t>
  </si>
  <si>
    <t xml:space="preserve">Interest </t>
  </si>
  <si>
    <t>To be Received</t>
  </si>
  <si>
    <t>Installment Amount</t>
  </si>
  <si>
    <t>BH Shriyani</t>
  </si>
  <si>
    <t>KA Prasanna</t>
  </si>
  <si>
    <t>HA Nanadasena</t>
  </si>
  <si>
    <t>P Manesh</t>
  </si>
  <si>
    <t>LA Damayanthi</t>
  </si>
  <si>
    <t>MGN Kumara</t>
  </si>
  <si>
    <t>Manju</t>
  </si>
  <si>
    <t>GG Buddhika</t>
  </si>
  <si>
    <t>Hema</t>
  </si>
  <si>
    <t>HG Saman</t>
  </si>
  <si>
    <t>Sena</t>
  </si>
  <si>
    <t>BH Surangani</t>
  </si>
  <si>
    <t>Rajakaruna</t>
  </si>
  <si>
    <t>No of installment</t>
  </si>
  <si>
    <t>Watte</t>
  </si>
  <si>
    <t>Thalagaswela</t>
  </si>
  <si>
    <t>Bimsara</t>
  </si>
  <si>
    <t>Muditha</t>
  </si>
  <si>
    <t>Samapath</t>
  </si>
  <si>
    <t>Renuka</t>
  </si>
  <si>
    <t>WB Dilshan</t>
  </si>
  <si>
    <t>Janaka</t>
  </si>
  <si>
    <t>Bandura</t>
  </si>
  <si>
    <t>KG Anil</t>
  </si>
  <si>
    <t>RW Wimaladasa</t>
  </si>
  <si>
    <t>Bashitha</t>
  </si>
  <si>
    <t>MG Nimali</t>
  </si>
  <si>
    <t>Lakshan</t>
  </si>
  <si>
    <t>chamila</t>
  </si>
  <si>
    <t>Vijemali</t>
  </si>
  <si>
    <t>Hashan</t>
  </si>
  <si>
    <t>Samantha</t>
  </si>
  <si>
    <t>Wasanthi</t>
  </si>
  <si>
    <t>Jayathissa(Ekanayaka</t>
  </si>
  <si>
    <t>Hiran</t>
  </si>
  <si>
    <t>Terry</t>
  </si>
  <si>
    <t>SK Inoka lakmal</t>
  </si>
  <si>
    <t>Week</t>
  </si>
  <si>
    <t>Month</t>
  </si>
  <si>
    <t>Month in</t>
  </si>
  <si>
    <t>Interest in</t>
  </si>
  <si>
    <t>Total Cash Received</t>
  </si>
  <si>
    <t>Month Out 10%</t>
  </si>
  <si>
    <t>Month Out 5%</t>
  </si>
  <si>
    <t>Fuel</t>
  </si>
  <si>
    <t>Other</t>
  </si>
  <si>
    <t>Location</t>
  </si>
  <si>
    <t>Loan Settlement</t>
  </si>
  <si>
    <t>Jayantha</t>
  </si>
  <si>
    <t>Podi</t>
  </si>
  <si>
    <t>Ramanadan</t>
  </si>
  <si>
    <t>S</t>
  </si>
  <si>
    <t>R</t>
  </si>
  <si>
    <t>C</t>
  </si>
  <si>
    <t>D/W in</t>
  </si>
  <si>
    <t>No</t>
  </si>
  <si>
    <t>ATM</t>
  </si>
  <si>
    <t>BOC</t>
  </si>
  <si>
    <t>Online</t>
  </si>
  <si>
    <t>correct</t>
  </si>
  <si>
    <t>D001</t>
  </si>
  <si>
    <t>Received</t>
  </si>
  <si>
    <t>Wno</t>
  </si>
  <si>
    <t>Received sofar</t>
  </si>
  <si>
    <t>Loan</t>
  </si>
  <si>
    <t>Interest</t>
  </si>
  <si>
    <t>Weeks</t>
  </si>
  <si>
    <t>IN</t>
  </si>
  <si>
    <t>Out</t>
  </si>
  <si>
    <t>In</t>
  </si>
  <si>
    <t>Capitals</t>
  </si>
  <si>
    <t>Cheque</t>
  </si>
  <si>
    <t>To be Rec</t>
  </si>
  <si>
    <t>D002</t>
  </si>
  <si>
    <t>rajakaru</t>
  </si>
  <si>
    <t>leebdu</t>
  </si>
  <si>
    <t>Other Income</t>
  </si>
  <si>
    <t>Expenses</t>
  </si>
  <si>
    <t>Satam</t>
  </si>
  <si>
    <t>Card</t>
  </si>
  <si>
    <t>Photocopy</t>
  </si>
  <si>
    <t>Bick</t>
  </si>
  <si>
    <t>Promisary</t>
  </si>
  <si>
    <t>To be received</t>
  </si>
  <si>
    <t>Total Ex</t>
  </si>
  <si>
    <t>Other Expenses</t>
  </si>
  <si>
    <t>Total Profit</t>
  </si>
  <si>
    <t>Profit dividens</t>
  </si>
  <si>
    <t>Cash in hand</t>
  </si>
  <si>
    <t>Cash in Boc</t>
  </si>
  <si>
    <t>Portfoliyo</t>
  </si>
  <si>
    <t>Total Incom</t>
  </si>
  <si>
    <t>Profit</t>
  </si>
  <si>
    <t>Dividens</t>
  </si>
  <si>
    <t>Rest Profit</t>
  </si>
  <si>
    <t>Portfilio</t>
  </si>
  <si>
    <t>Difference</t>
  </si>
  <si>
    <t>fish</t>
  </si>
  <si>
    <t>F</t>
  </si>
  <si>
    <t>P</t>
  </si>
  <si>
    <t>s</t>
  </si>
  <si>
    <t>Lahiru</t>
  </si>
  <si>
    <t>tire</t>
  </si>
  <si>
    <t>fish income</t>
  </si>
  <si>
    <t>lahiru</t>
  </si>
  <si>
    <t>in</t>
  </si>
  <si>
    <t>out</t>
  </si>
  <si>
    <t>Balance</t>
  </si>
  <si>
    <t>Tharindu</t>
  </si>
  <si>
    <t>Thimira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</si>
</sst>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d\-mmm\-yy;@"/>
    <numFmt numFmtId="165" formatCode="&quot;$&quot;#,##0.00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0" fillId="0" borderId="1" xfId="0" applyBorder="1" applyAlignment="1">
      <alignment horizontal="right"/>
    </xf>
    <xf numFmtId="0" fontId="5" fillId="3" borderId="5" xfId="0" applyFont="1" applyFill="1" applyBorder="1" applyAlignment="1">
      <alignment horizontal="center" vertical="center" wrapText="1"/>
    </xf>
    <xf numFmtId="14" fontId="0" fillId="0" borderId="0" xfId="0" applyNumberFormat="1"/>
    <xf numFmtId="14" fontId="4" fillId="0" borderId="5" xfId="0" applyNumberFormat="1" applyFont="1" applyBorder="1" applyAlignment="1">
      <alignment horizontal="right" wrapText="1"/>
    </xf>
    <xf numFmtId="4" fontId="0" fillId="0" borderId="0" xfId="0" applyNumberFormat="1"/>
    <xf numFmtId="0" fontId="4" fillId="0" borderId="5" xfId="0" applyFont="1" applyBorder="1" applyAlignment="1">
      <alignment horizontal="right" wrapText="1"/>
    </xf>
    <xf numFmtId="4" fontId="4" fillId="0" borderId="5" xfId="0" applyNumberFormat="1" applyFont="1" applyBorder="1" applyAlignment="1">
      <alignment horizontal="right" wrapText="1"/>
    </xf>
    <xf numFmtId="4" fontId="4" fillId="2" borderId="5" xfId="0" applyNumberFormat="1" applyFont="1" applyFill="1" applyBorder="1" applyAlignment="1">
      <alignment horizontal="right" wrapText="1"/>
    </xf>
    <xf numFmtId="4" fontId="4" fillId="3" borderId="5" xfId="0" applyNumberFormat="1" applyFont="1" applyFill="1" applyBorder="1" applyAlignment="1">
      <alignment horizontal="right" wrapText="1"/>
    </xf>
    <xf numFmtId="0" fontId="4" fillId="3" borderId="5" xfId="0" applyFont="1" applyFill="1" applyBorder="1" applyAlignment="1">
      <alignment wrapText="1"/>
    </xf>
    <xf numFmtId="4" fontId="4" fillId="4" borderId="5" xfId="0" applyNumberFormat="1" applyFont="1" applyFill="1" applyBorder="1" applyAlignment="1">
      <alignment horizontal="right" wrapText="1"/>
    </xf>
    <xf numFmtId="0" fontId="4" fillId="5" borderId="5" xfId="0" applyFont="1" applyFill="1" applyBorder="1" applyAlignment="1">
      <alignment wrapText="1"/>
    </xf>
    <xf numFmtId="0" fontId="4" fillId="4" borderId="5" xfId="0" applyFont="1" applyFill="1" applyBorder="1" applyAlignment="1">
      <alignment horizontal="right" wrapText="1"/>
    </xf>
    <xf numFmtId="14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2" fillId="0" borderId="0" xfId="0" applyFont="1"/>
    <xf numFmtId="164" fontId="0" fillId="0" borderId="0" xfId="0" applyNumberFormat="1"/>
    <xf numFmtId="43" fontId="0" fillId="0" borderId="0" xfId="1" applyFont="1"/>
    <xf numFmtId="0" fontId="0" fillId="0" borderId="1" xfId="0" applyBorder="1"/>
    <xf numFmtId="164" fontId="0" fillId="0" borderId="1" xfId="0" applyNumberFormat="1" applyBorder="1"/>
    <xf numFmtId="0" fontId="0" fillId="8" borderId="1" xfId="0" applyFill="1" applyBorder="1"/>
    <xf numFmtId="0" fontId="0" fillId="9" borderId="1" xfId="0" applyFill="1" applyBorder="1"/>
    <xf numFmtId="4" fontId="0" fillId="9" borderId="1" xfId="1" applyNumberFormat="1" applyFont="1" applyFill="1" applyBorder="1"/>
    <xf numFmtId="4" fontId="0" fillId="9" borderId="1" xfId="0" applyNumberFormat="1" applyFill="1" applyBorder="1"/>
    <xf numFmtId="43" fontId="0" fillId="0" borderId="1" xfId="1" applyFont="1" applyBorder="1"/>
    <xf numFmtId="9" fontId="0" fillId="0" borderId="1" xfId="2" applyFont="1" applyBorder="1"/>
    <xf numFmtId="4" fontId="0" fillId="0" borderId="1" xfId="0" applyNumberFormat="1" applyBorder="1"/>
    <xf numFmtId="0" fontId="0" fillId="7" borderId="1" xfId="0" applyFill="1" applyBorder="1"/>
    <xf numFmtId="43" fontId="0" fillId="7" borderId="1" xfId="1" applyFont="1" applyFill="1" applyBorder="1"/>
    <xf numFmtId="4" fontId="0" fillId="7" borderId="1" xfId="0" applyNumberFormat="1" applyFill="1" applyBorder="1"/>
    <xf numFmtId="1" fontId="0" fillId="0" borderId="0" xfId="0" applyNumberFormat="1"/>
    <xf numFmtId="9" fontId="0" fillId="0" borderId="0" xfId="0" applyNumberFormat="1"/>
    <xf numFmtId="4" fontId="0" fillId="0" borderId="1" xfId="0" applyNumberFormat="1" applyBorder="1" applyAlignment="1">
      <alignment wrapText="1"/>
    </xf>
    <xf numFmtId="0" fontId="0" fillId="0" borderId="0" xfId="0" applyAlignment="1">
      <alignment horizontal="center" vertical="center"/>
    </xf>
    <xf numFmtId="1" fontId="6" fillId="0" borderId="0" xfId="0" applyNumberFormat="1" applyFont="1"/>
    <xf numFmtId="0" fontId="7" fillId="0" borderId="0" xfId="0" applyFont="1" applyAlignment="1">
      <alignment horizontal="center" vertical="center"/>
    </xf>
    <xf numFmtId="0" fontId="7" fillId="0" borderId="0" xfId="0" applyFont="1"/>
    <xf numFmtId="1" fontId="7" fillId="0" borderId="0" xfId="0" applyNumberFormat="1" applyFont="1"/>
    <xf numFmtId="164" fontId="7" fillId="0" borderId="0" xfId="0" applyNumberFormat="1" applyFont="1"/>
    <xf numFmtId="4" fontId="7" fillId="0" borderId="0" xfId="0" applyNumberFormat="1" applyFont="1"/>
    <xf numFmtId="9" fontId="7" fillId="0" borderId="0" xfId="0" applyNumberFormat="1" applyFont="1"/>
    <xf numFmtId="4" fontId="7" fillId="0" borderId="1" xfId="0" applyNumberFormat="1" applyFont="1" applyBorder="1"/>
    <xf numFmtId="43" fontId="0" fillId="0" borderId="0" xfId="0" applyNumberFormat="1"/>
    <xf numFmtId="43" fontId="2" fillId="0" borderId="0" xfId="1" applyFont="1"/>
    <xf numFmtId="4" fontId="8" fillId="0" borderId="0" xfId="0" applyNumberFormat="1" applyFont="1"/>
    <xf numFmtId="43" fontId="0" fillId="11" borderId="1" xfId="1" applyFont="1" applyFill="1" applyBorder="1"/>
    <xf numFmtId="0" fontId="0" fillId="0" borderId="0" xfId="0" applyFill="1"/>
    <xf numFmtId="43" fontId="4" fillId="0" borderId="5" xfId="1" applyFont="1" applyFill="1" applyBorder="1" applyAlignment="1">
      <alignment horizontal="right" wrapText="1"/>
    </xf>
    <xf numFmtId="43" fontId="0" fillId="0" borderId="0" xfId="1" applyFont="1" applyFill="1"/>
    <xf numFmtId="0" fontId="4" fillId="0" borderId="1" xfId="0" applyFont="1" applyFill="1" applyBorder="1" applyAlignment="1">
      <alignment vertical="center" wrapText="1"/>
    </xf>
    <xf numFmtId="43" fontId="0" fillId="8" borderId="1" xfId="1" applyFont="1" applyFill="1" applyBorder="1"/>
    <xf numFmtId="0" fontId="4" fillId="0" borderId="1" xfId="0" applyFont="1" applyBorder="1" applyAlignment="1">
      <alignment horizontal="center" vertical="center" wrapText="1"/>
    </xf>
    <xf numFmtId="43" fontId="4" fillId="11" borderId="1" xfId="1" applyFont="1" applyFill="1" applyBorder="1" applyAlignment="1">
      <alignment horizontal="center" vertical="center" wrapText="1"/>
    </xf>
    <xf numFmtId="43" fontId="4" fillId="5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43" fontId="4" fillId="7" borderId="1" xfId="1" applyFont="1" applyFill="1" applyBorder="1" applyAlignment="1">
      <alignment horizontal="center" vertical="center" wrapText="1"/>
    </xf>
    <xf numFmtId="43" fontId="4" fillId="0" borderId="1" xfId="1" applyFont="1" applyFill="1" applyBorder="1" applyAlignment="1">
      <alignment horizontal="center" vertical="center" wrapText="1"/>
    </xf>
    <xf numFmtId="43" fontId="4" fillId="8" borderId="1" xfId="1" applyFont="1" applyFill="1" applyBorder="1" applyAlignment="1">
      <alignment horizontal="center" vertical="center" wrapText="1"/>
    </xf>
    <xf numFmtId="43" fontId="4" fillId="10" borderId="1" xfId="1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43" fontId="0" fillId="9" borderId="1" xfId="1" applyFont="1" applyFill="1" applyBorder="1"/>
    <xf numFmtId="43" fontId="0" fillId="0" borderId="1" xfId="1" applyFont="1" applyFill="1" applyBorder="1"/>
    <xf numFmtId="43" fontId="0" fillId="10" borderId="1" xfId="1" applyFont="1" applyFill="1" applyBorder="1"/>
    <xf numFmtId="14" fontId="4" fillId="15" borderId="1" xfId="0" applyNumberFormat="1" applyFont="1" applyFill="1" applyBorder="1" applyAlignment="1">
      <alignment horizontal="right" wrapText="1"/>
    </xf>
    <xf numFmtId="43" fontId="4" fillId="15" borderId="1" xfId="1" applyFont="1" applyFill="1" applyBorder="1" applyAlignment="1">
      <alignment horizontal="right" wrapText="1"/>
    </xf>
    <xf numFmtId="43" fontId="4" fillId="15" borderId="1" xfId="1" applyFont="1" applyFill="1" applyBorder="1" applyAlignment="1">
      <alignment wrapText="1"/>
    </xf>
    <xf numFmtId="4" fontId="4" fillId="15" borderId="1" xfId="0" applyNumberFormat="1" applyFont="1" applyFill="1" applyBorder="1" applyAlignment="1">
      <alignment horizontal="right" wrapText="1"/>
    </xf>
    <xf numFmtId="0" fontId="4" fillId="15" borderId="1" xfId="0" applyFont="1" applyFill="1" applyBorder="1" applyAlignment="1">
      <alignment vertical="center" wrapText="1"/>
    </xf>
    <xf numFmtId="0" fontId="0" fillId="15" borderId="1" xfId="0" applyFill="1" applyBorder="1"/>
    <xf numFmtId="0" fontId="0" fillId="15" borderId="0" xfId="0" applyFill="1"/>
    <xf numFmtId="43" fontId="5" fillId="13" borderId="1" xfId="1" applyFont="1" applyFill="1" applyBorder="1" applyAlignment="1">
      <alignment horizontal="center" vertical="center" wrapText="1"/>
    </xf>
    <xf numFmtId="43" fontId="4" fillId="13" borderId="1" xfId="1" applyFont="1" applyFill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right" wrapText="1"/>
    </xf>
    <xf numFmtId="43" fontId="4" fillId="13" borderId="1" xfId="1" applyFont="1" applyFill="1" applyBorder="1" applyAlignment="1">
      <alignment horizontal="right" wrapText="1"/>
    </xf>
    <xf numFmtId="43" fontId="4" fillId="13" borderId="1" xfId="1" applyFont="1" applyFill="1" applyBorder="1" applyAlignment="1">
      <alignment wrapText="1"/>
    </xf>
    <xf numFmtId="4" fontId="4" fillId="13" borderId="1" xfId="0" applyNumberFormat="1" applyFont="1" applyFill="1" applyBorder="1" applyAlignment="1">
      <alignment horizontal="right" wrapText="1"/>
    </xf>
    <xf numFmtId="0" fontId="4" fillId="13" borderId="1" xfId="0" applyFont="1" applyFill="1" applyBorder="1" applyAlignment="1">
      <alignment vertical="center" wrapText="1"/>
    </xf>
    <xf numFmtId="0" fontId="0" fillId="13" borderId="1" xfId="0" applyFill="1" applyBorder="1"/>
    <xf numFmtId="43" fontId="4" fillId="0" borderId="1" xfId="1" applyFont="1" applyFill="1" applyBorder="1" applyAlignment="1">
      <alignment horizontal="right" wrapText="1"/>
    </xf>
    <xf numFmtId="43" fontId="1" fillId="0" borderId="0" xfId="1" applyFont="1"/>
    <xf numFmtId="4" fontId="9" fillId="0" borderId="1" xfId="0" applyNumberFormat="1" applyFont="1" applyBorder="1"/>
    <xf numFmtId="4" fontId="9" fillId="0" borderId="0" xfId="0" applyNumberFormat="1" applyFont="1"/>
    <xf numFmtId="43" fontId="6" fillId="0" borderId="0" xfId="1" applyFont="1"/>
    <xf numFmtId="43" fontId="7" fillId="0" borderId="0" xfId="1" applyFont="1"/>
    <xf numFmtId="43" fontId="7" fillId="0" borderId="0" xfId="0" applyNumberFormat="1" applyFont="1"/>
    <xf numFmtId="43" fontId="0" fillId="0" borderId="0" xfId="1" applyFont="1" applyBorder="1"/>
    <xf numFmtId="0" fontId="0" fillId="0" borderId="0" xfId="0" applyAlignment="1"/>
    <xf numFmtId="0" fontId="0" fillId="0" borderId="6" xfId="0" applyBorder="1" applyAlignment="1"/>
    <xf numFmtId="0" fontId="0" fillId="0" borderId="0" xfId="0" applyFill="1" applyBorder="1"/>
    <xf numFmtId="0" fontId="2" fillId="0" borderId="1" xfId="0" applyFont="1" applyBorder="1"/>
    <xf numFmtId="43" fontId="2" fillId="0" borderId="1" xfId="1" applyFont="1" applyBorder="1"/>
    <xf numFmtId="0" fontId="10" fillId="0" borderId="0" xfId="0" applyFont="1"/>
    <xf numFmtId="43" fontId="10" fillId="9" borderId="1" xfId="1" applyFont="1" applyFill="1" applyBorder="1"/>
    <xf numFmtId="43" fontId="10" fillId="7" borderId="1" xfId="1" applyFont="1" applyFill="1" applyBorder="1"/>
    <xf numFmtId="43" fontId="10" fillId="0" borderId="0" xfId="1" applyFont="1"/>
    <xf numFmtId="43" fontId="8" fillId="0" borderId="6" xfId="1" applyFont="1" applyBorder="1"/>
    <xf numFmtId="43" fontId="10" fillId="7" borderId="3" xfId="1" applyFont="1" applyFill="1" applyBorder="1"/>
    <xf numFmtId="43" fontId="8" fillId="0" borderId="1" xfId="1" applyFont="1" applyBorder="1"/>
    <xf numFmtId="43" fontId="11" fillId="7" borderId="3" xfId="1" applyFont="1" applyFill="1" applyBorder="1"/>
    <xf numFmtId="43" fontId="11" fillId="9" borderId="3" xfId="1" applyFont="1" applyFill="1" applyBorder="1"/>
    <xf numFmtId="43" fontId="3" fillId="0" borderId="1" xfId="1" applyFont="1" applyBorder="1"/>
    <xf numFmtId="43" fontId="0" fillId="16" borderId="1" xfId="1" applyFont="1" applyFill="1" applyBorder="1"/>
    <xf numFmtId="43" fontId="4" fillId="16" borderId="5" xfId="1" applyFont="1" applyFill="1" applyBorder="1" applyAlignment="1">
      <alignment horizontal="right" wrapText="1"/>
    </xf>
    <xf numFmtId="43" fontId="0" fillId="16" borderId="0" xfId="1" applyFont="1" applyFill="1"/>
    <xf numFmtId="14" fontId="4" fillId="16" borderId="5" xfId="0" applyNumberFormat="1" applyFont="1" applyFill="1" applyBorder="1" applyAlignment="1">
      <alignment horizontal="right" wrapText="1"/>
    </xf>
    <xf numFmtId="14" fontId="0" fillId="16" borderId="0" xfId="0" applyNumberFormat="1" applyFill="1"/>
    <xf numFmtId="43" fontId="5" fillId="16" borderId="7" xfId="1" applyFont="1" applyFill="1" applyBorder="1" applyAlignment="1">
      <alignment horizontal="center" vertical="center" wrapText="1"/>
    </xf>
    <xf numFmtId="14" fontId="5" fillId="16" borderId="7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wrapText="1"/>
    </xf>
    <xf numFmtId="4" fontId="4" fillId="0" borderId="5" xfId="0" applyNumberFormat="1" applyFont="1" applyFill="1" applyBorder="1" applyAlignment="1">
      <alignment horizontal="right" wrapText="1"/>
    </xf>
    <xf numFmtId="0" fontId="5" fillId="0" borderId="7" xfId="0" applyFont="1" applyFill="1" applyBorder="1" applyAlignment="1">
      <alignment horizontal="center" vertical="center" wrapText="1"/>
    </xf>
    <xf numFmtId="43" fontId="5" fillId="0" borderId="7" xfId="1" applyFont="1" applyFill="1" applyBorder="1" applyAlignment="1">
      <alignment horizontal="center" vertical="center" wrapText="1"/>
    </xf>
    <xf numFmtId="0" fontId="10" fillId="0" borderId="1" xfId="0" applyFont="1" applyBorder="1"/>
    <xf numFmtId="0" fontId="0" fillId="0" borderId="2" xfId="0" applyBorder="1" applyAlignment="1"/>
    <xf numFmtId="0" fontId="8" fillId="0" borderId="1" xfId="0" applyFont="1" applyBorder="1"/>
    <xf numFmtId="0" fontId="0" fillId="14" borderId="3" xfId="0" applyFill="1" applyBorder="1" applyAlignment="1"/>
    <xf numFmtId="0" fontId="0" fillId="14" borderId="2" xfId="0" applyFill="1" applyBorder="1" applyAlignment="1"/>
    <xf numFmtId="0" fontId="0" fillId="13" borderId="3" xfId="0" applyFill="1" applyBorder="1" applyAlignment="1"/>
    <xf numFmtId="0" fontId="0" fillId="13" borderId="2" xfId="0" applyFill="1" applyBorder="1" applyAlignment="1"/>
    <xf numFmtId="43" fontId="0" fillId="10" borderId="3" xfId="1" applyFont="1" applyFill="1" applyBorder="1" applyAlignment="1"/>
    <xf numFmtId="43" fontId="0" fillId="10" borderId="2" xfId="1" applyFont="1" applyFill="1" applyBorder="1" applyAlignment="1"/>
    <xf numFmtId="43" fontId="4" fillId="12" borderId="5" xfId="1" applyFont="1" applyFill="1" applyBorder="1" applyAlignment="1">
      <alignment horizontal="right" wrapText="1"/>
    </xf>
    <xf numFmtId="43" fontId="10" fillId="0" borderId="1" xfId="0" applyNumberFormat="1" applyFont="1" applyBorder="1"/>
    <xf numFmtId="43" fontId="0" fillId="0" borderId="3" xfId="1" applyFont="1" applyBorder="1" applyAlignment="1"/>
    <xf numFmtId="43" fontId="0" fillId="0" borderId="0" xfId="1" applyFont="1" applyAlignment="1">
      <alignment horizontal="left"/>
    </xf>
    <xf numFmtId="43" fontId="0" fillId="0" borderId="0" xfId="1" applyFont="1" applyAlignment="1">
      <alignment horizontal="right"/>
    </xf>
    <xf numFmtId="0" fontId="0" fillId="0" borderId="0" xfId="0" applyAlignment="1">
      <alignment horizontal="right"/>
    </xf>
    <xf numFmtId="43" fontId="2" fillId="0" borderId="0" xfId="0" applyNumberFormat="1" applyFont="1"/>
    <xf numFmtId="0" fontId="0" fillId="0" borderId="0" xfId="0" applyBorder="1"/>
    <xf numFmtId="14" fontId="0" fillId="0" borderId="8" xfId="0" applyNumberFormat="1" applyBorder="1"/>
    <xf numFmtId="0" fontId="0" fillId="0" borderId="12" xfId="0" applyBorder="1"/>
    <xf numFmtId="166" fontId="0" fillId="0" borderId="12" xfId="1" applyNumberFormat="1" applyFont="1" applyBorder="1" applyAlignment="1">
      <alignment horizontal="center"/>
    </xf>
    <xf numFmtId="166" fontId="0" fillId="0" borderId="0" xfId="1" applyNumberFormat="1" applyFont="1" applyBorder="1"/>
    <xf numFmtId="166" fontId="0" fillId="0" borderId="12" xfId="1" applyNumberFormat="1" applyFont="1" applyBorder="1"/>
    <xf numFmtId="166" fontId="0" fillId="0" borderId="0" xfId="0" applyNumberFormat="1" applyBorder="1"/>
    <xf numFmtId="166" fontId="0" fillId="0" borderId="12" xfId="0" applyNumberFormat="1" applyBorder="1"/>
    <xf numFmtId="0" fontId="0" fillId="0" borderId="8" xfId="0" applyBorder="1"/>
    <xf numFmtId="0" fontId="10" fillId="0" borderId="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0" fillId="0" borderId="3" xfId="1" applyFont="1" applyBorder="1" applyAlignment="1">
      <alignment horizontal="center"/>
    </xf>
    <xf numFmtId="43" fontId="0" fillId="0" borderId="2" xfId="1" applyFont="1" applyBorder="1" applyAlignment="1">
      <alignment horizontal="center"/>
    </xf>
    <xf numFmtId="165" fontId="2" fillId="0" borderId="3" xfId="1" applyNumberFormat="1" applyFont="1" applyBorder="1" applyAlignment="1">
      <alignment horizontal="center" vertical="top"/>
    </xf>
    <xf numFmtId="165" fontId="2" fillId="0" borderId="4" xfId="1" applyNumberFormat="1" applyFont="1" applyBorder="1" applyAlignment="1">
      <alignment horizontal="center" vertical="top"/>
    </xf>
    <xf numFmtId="165" fontId="2" fillId="0" borderId="2" xfId="1" applyNumberFormat="1" applyFont="1" applyBorder="1" applyAlignment="1">
      <alignment horizontal="center" vertical="top"/>
    </xf>
    <xf numFmtId="43" fontId="10" fillId="0" borderId="1" xfId="1" applyFont="1" applyBorder="1" applyAlignment="1">
      <alignment horizontal="center"/>
    </xf>
    <xf numFmtId="43" fontId="10" fillId="0" borderId="6" xfId="1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43">
    <dxf>
      <fill>
        <patternFill>
          <bgColor theme="3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B050"/>
      </font>
    </dxf>
    <dxf>
      <fill>
        <patternFill>
          <bgColor theme="5" tint="0.79998168889431442"/>
        </patternFill>
      </fill>
    </dxf>
    <dxf>
      <fill>
        <patternFill>
          <bgColor rgb="FFFF99CC"/>
        </patternFill>
      </fill>
    </dxf>
    <dxf>
      <font>
        <color theme="1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color rgb="FF00B050"/>
      </font>
    </dxf>
    <dxf>
      <fill>
        <patternFill>
          <bgColor theme="5" tint="0.79998168889431442"/>
        </patternFill>
      </fill>
    </dxf>
    <dxf>
      <fill>
        <patternFill>
          <bgColor rgb="FFFF99CC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B050"/>
      </font>
    </dxf>
    <dxf>
      <fill>
        <patternFill>
          <bgColor theme="5" tint="0.79998168889431442"/>
        </patternFill>
      </fill>
    </dxf>
    <dxf>
      <fill>
        <patternFill>
          <bgColor rgb="FFFF99CC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B050"/>
      </font>
    </dxf>
    <dxf>
      <fill>
        <patternFill>
          <bgColor theme="5" tint="0.79998168889431442"/>
        </patternFill>
      </fill>
    </dxf>
    <dxf>
      <fill>
        <patternFill>
          <bgColor rgb="FFFF99CC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B050"/>
      </font>
    </dxf>
    <dxf>
      <fill>
        <patternFill>
          <bgColor theme="5" tint="0.79998168889431442"/>
        </patternFill>
      </fill>
    </dxf>
    <dxf>
      <fill>
        <patternFill>
          <bgColor rgb="FFFF99CC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Medium9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W23"/>
  <sheetViews>
    <sheetView zoomScaleNormal="100" workbookViewId="0">
      <selection activeCell="A24" sqref="A24"/>
    </sheetView>
  </sheetViews>
  <sheetFormatPr defaultRowHeight="15" x14ac:dyDescent="0.25"/>
  <cols>
    <col min="1" max="1" width="19.7109375" style="21" customWidth="1"/>
    <col min="2" max="2" width="22.42578125" style="21" customWidth="1"/>
    <col min="3" max="3" width="12.7109375" style="21" bestFit="1" customWidth="1"/>
    <col min="4" max="4" width="16.7109375" style="21" bestFit="1" customWidth="1"/>
    <col min="5" max="5" width="14.7109375" customWidth="1"/>
    <col min="6" max="6" width="14.5703125" bestFit="1" customWidth="1"/>
    <col min="7" max="7" width="12.7109375" bestFit="1" customWidth="1"/>
    <col min="8" max="8" width="16.85546875" customWidth="1"/>
    <col min="9" max="9" width="15.7109375" bestFit="1" customWidth="1"/>
    <col min="10" max="10" width="14.5703125" style="21" bestFit="1" customWidth="1"/>
    <col min="11" max="11" width="15.140625" customWidth="1"/>
    <col min="12" max="12" width="16.7109375" bestFit="1" customWidth="1"/>
    <col min="13" max="14" width="14.5703125" bestFit="1" customWidth="1"/>
    <col min="15" max="15" width="11.5703125" bestFit="1" customWidth="1"/>
    <col min="16" max="16" width="12.7109375" bestFit="1" customWidth="1"/>
  </cols>
  <sheetData>
    <row r="1" spans="1:23" ht="15.75" x14ac:dyDescent="0.25">
      <c r="A1" s="150" t="s">
        <v>25</v>
      </c>
      <c r="B1" s="150"/>
      <c r="C1" s="150"/>
      <c r="D1" s="150"/>
      <c r="E1" s="149" t="s">
        <v>97</v>
      </c>
      <c r="F1" s="149"/>
      <c r="G1" s="149"/>
      <c r="H1" s="149"/>
      <c r="I1" s="149" t="s">
        <v>69</v>
      </c>
      <c r="J1" s="149"/>
      <c r="K1" s="149"/>
      <c r="L1" s="149"/>
      <c r="M1" s="142" t="s">
        <v>102</v>
      </c>
      <c r="N1" s="143"/>
      <c r="O1" s="143"/>
      <c r="P1" s="96"/>
      <c r="Q1" s="96"/>
      <c r="R1" s="96"/>
      <c r="S1" s="96"/>
      <c r="T1" s="96"/>
      <c r="U1" s="96"/>
      <c r="V1" s="96"/>
      <c r="W1" s="96"/>
    </row>
    <row r="2" spans="1:23" ht="15.75" x14ac:dyDescent="0.25">
      <c r="A2" s="97" t="s">
        <v>17</v>
      </c>
      <c r="B2" s="98" t="s">
        <v>92</v>
      </c>
      <c r="C2" s="98" t="s">
        <v>28</v>
      </c>
      <c r="D2" s="101" t="s">
        <v>29</v>
      </c>
      <c r="E2" s="97" t="s">
        <v>17</v>
      </c>
      <c r="F2" s="98" t="s">
        <v>92</v>
      </c>
      <c r="G2" s="98" t="s">
        <v>28</v>
      </c>
      <c r="H2" s="98" t="s">
        <v>29</v>
      </c>
      <c r="I2" s="97" t="s">
        <v>17</v>
      </c>
      <c r="J2" s="98" t="s">
        <v>92</v>
      </c>
      <c r="K2" s="98" t="s">
        <v>28</v>
      </c>
      <c r="L2" s="98" t="s">
        <v>29</v>
      </c>
      <c r="M2" s="95" t="s">
        <v>95</v>
      </c>
      <c r="N2" s="95" t="s">
        <v>72</v>
      </c>
      <c r="O2" s="95" t="s">
        <v>96</v>
      </c>
      <c r="P2" s="117" t="s">
        <v>103</v>
      </c>
      <c r="Q2" s="96"/>
      <c r="R2" s="96"/>
      <c r="S2" s="96"/>
      <c r="T2" s="96"/>
      <c r="U2" s="96"/>
      <c r="V2" s="96"/>
      <c r="W2" s="96"/>
    </row>
    <row r="3" spans="1:23" ht="15.75" x14ac:dyDescent="0.25">
      <c r="A3" s="100">
        <f>SUM(Daily!G:G)</f>
        <v>210000</v>
      </c>
      <c r="B3" s="100">
        <f>SUM(Daily!K:K)</f>
        <v>252000</v>
      </c>
      <c r="C3" s="100">
        <f>SUMIF(Daily!L2:L13,"&gt;0")</f>
        <v>42000</v>
      </c>
      <c r="D3" s="100">
        <f>SUM(Daily!M:M)</f>
        <v>-42000</v>
      </c>
      <c r="E3" s="102">
        <f>SUM(Weekly!H:H)</f>
        <v>45000</v>
      </c>
      <c r="F3" s="102">
        <f>SUM(Weekly!L:L)</f>
        <v>54000</v>
      </c>
      <c r="G3" s="102">
        <f>SUMIF(Weekly!M2:M7,"&gt;0")</f>
        <v>9000</v>
      </c>
      <c r="H3" s="102">
        <f>SUM(Weekly!N:N)</f>
        <v>-9000</v>
      </c>
      <c r="I3" s="102" t="e">
        <f>SUM(#REF!)</f>
        <v>#REF!</v>
      </c>
      <c r="J3" s="102" t="e">
        <f>SUM(#REF!)</f>
        <v>#REF!</v>
      </c>
      <c r="K3" s="102" t="e">
        <f>SUMIF(#REF!,"&gt;0")</f>
        <v>#REF!</v>
      </c>
      <c r="L3" s="102" t="e">
        <f>SUM(#REF!)</f>
        <v>#REF!</v>
      </c>
      <c r="M3" s="127" t="e">
        <f>SUM(#REF!)</f>
        <v>#REF!</v>
      </c>
      <c r="N3" s="127" t="e">
        <f>SUM(#REF!)</f>
        <v>#REF!</v>
      </c>
      <c r="O3" s="127" t="e">
        <f>SUM(#REF!)</f>
        <v>#REF!</v>
      </c>
      <c r="P3" s="127" t="e">
        <f>M3-N3</f>
        <v>#REF!</v>
      </c>
      <c r="Q3" s="96"/>
      <c r="R3" s="96"/>
      <c r="S3" s="96"/>
      <c r="T3" s="96"/>
      <c r="U3" s="96"/>
      <c r="V3" s="96"/>
      <c r="W3" s="96"/>
    </row>
    <row r="4" spans="1:23" ht="15.75" x14ac:dyDescent="0.25">
      <c r="A4" s="99"/>
      <c r="B4" s="99"/>
      <c r="C4" s="99"/>
      <c r="D4" s="99"/>
      <c r="E4" s="96"/>
      <c r="F4" s="96"/>
      <c r="G4" s="96"/>
      <c r="H4" s="96"/>
      <c r="I4" s="96"/>
      <c r="J4" s="99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</row>
    <row r="5" spans="1:23" ht="18.75" x14ac:dyDescent="0.3">
      <c r="A5" s="104" t="s">
        <v>17</v>
      </c>
      <c r="B5" s="105" t="e">
        <f>A3+E3+I3+M3</f>
        <v>#REF!</v>
      </c>
      <c r="C5" s="99"/>
      <c r="D5" s="151" t="s">
        <v>101</v>
      </c>
      <c r="E5" s="151"/>
      <c r="F5" s="151"/>
      <c r="G5" s="151"/>
      <c r="H5" s="151"/>
      <c r="I5" s="151"/>
      <c r="J5" s="151"/>
      <c r="K5" s="119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</row>
    <row r="6" spans="1:23" ht="18.75" x14ac:dyDescent="0.3">
      <c r="A6" s="103" t="s">
        <v>92</v>
      </c>
      <c r="B6" s="105" t="e">
        <f>B3+F3+J3+N3</f>
        <v>#REF!</v>
      </c>
      <c r="C6" s="99"/>
      <c r="D6" s="151" t="s">
        <v>82</v>
      </c>
      <c r="E6" s="151"/>
      <c r="F6" s="152" t="s">
        <v>84</v>
      </c>
      <c r="G6" s="152"/>
      <c r="H6" s="152" t="s">
        <v>83</v>
      </c>
      <c r="I6" s="152"/>
      <c r="J6" s="152" t="s">
        <v>4</v>
      </c>
      <c r="K6" s="152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</row>
    <row r="7" spans="1:23" ht="18.75" x14ac:dyDescent="0.3">
      <c r="A7" s="103" t="s">
        <v>28</v>
      </c>
      <c r="B7" s="105" t="e">
        <f>C3+G3+K3+O3</f>
        <v>#REF!</v>
      </c>
      <c r="D7" s="95" t="s">
        <v>100</v>
      </c>
      <c r="E7" s="94" t="s">
        <v>99</v>
      </c>
      <c r="F7" s="94" t="s">
        <v>100</v>
      </c>
      <c r="G7" s="94" t="s">
        <v>99</v>
      </c>
      <c r="H7" s="94" t="s">
        <v>100</v>
      </c>
      <c r="I7" s="94" t="s">
        <v>99</v>
      </c>
      <c r="J7" s="95"/>
      <c r="K7" s="94"/>
    </row>
    <row r="8" spans="1:23" ht="18.75" x14ac:dyDescent="0.3">
      <c r="A8" s="103" t="s">
        <v>29</v>
      </c>
      <c r="B8" s="105" t="e">
        <f>D3+H3+L3+P3</f>
        <v>#REF!</v>
      </c>
      <c r="D8" s="28">
        <f>SUM('Capital Edited'!C:C)</f>
        <v>542000</v>
      </c>
      <c r="E8" s="28">
        <f>SUM('Capital Edited'!D:D)</f>
        <v>52000</v>
      </c>
      <c r="F8" s="28">
        <f>SUM('Capital Edited'!E:E)</f>
        <v>40000</v>
      </c>
      <c r="G8" s="28">
        <f>SUM('Capital Edited'!F:F)</f>
        <v>0</v>
      </c>
      <c r="H8" s="28">
        <f>SUM('Capital Edited'!G:G)</f>
        <v>0</v>
      </c>
      <c r="I8" s="28">
        <f>SUM('Capital Edited'!H:H)</f>
        <v>0</v>
      </c>
      <c r="J8" s="28"/>
      <c r="K8" s="22"/>
    </row>
    <row r="9" spans="1:23" x14ac:dyDescent="0.25">
      <c r="D9" s="144">
        <f>D8-E8</f>
        <v>490000</v>
      </c>
      <c r="E9" s="145"/>
      <c r="F9" s="144">
        <f>F8-G8</f>
        <v>40000</v>
      </c>
      <c r="G9" s="145"/>
      <c r="H9" s="144">
        <f>H8-I8</f>
        <v>0</v>
      </c>
      <c r="I9" s="145"/>
      <c r="J9" s="128"/>
      <c r="K9" s="118"/>
    </row>
    <row r="10" spans="1:23" x14ac:dyDescent="0.25">
      <c r="D10" s="146">
        <f>D9+F9+H9</f>
        <v>530000</v>
      </c>
      <c r="E10" s="147"/>
      <c r="F10" s="147"/>
      <c r="G10" s="147"/>
      <c r="H10" s="147"/>
      <c r="I10" s="147"/>
      <c r="J10" s="147"/>
      <c r="K10" s="148"/>
    </row>
    <row r="11" spans="1:23" x14ac:dyDescent="0.25">
      <c r="A11" s="21" t="s">
        <v>114</v>
      </c>
      <c r="B11" s="21" t="e">
        <f>B8</f>
        <v>#REF!</v>
      </c>
    </row>
    <row r="12" spans="1:23" x14ac:dyDescent="0.25">
      <c r="A12" s="21" t="s">
        <v>116</v>
      </c>
      <c r="B12" s="21">
        <f>SUM('Expences &amp; Other Income'!O:O)</f>
        <v>17720</v>
      </c>
      <c r="J12" s="21">
        <f>D10</f>
        <v>530000</v>
      </c>
      <c r="K12" s="21">
        <v>800000</v>
      </c>
      <c r="L12" t="s">
        <v>133</v>
      </c>
    </row>
    <row r="13" spans="1:23" x14ac:dyDescent="0.25">
      <c r="A13" s="21" t="s">
        <v>118</v>
      </c>
      <c r="B13" s="21">
        <f>SUM(Profits!F:F)</f>
        <v>62000</v>
      </c>
      <c r="I13" t="s">
        <v>128</v>
      </c>
      <c r="J13" s="21">
        <v>-600000</v>
      </c>
      <c r="K13" s="46">
        <f>D10+K12</f>
        <v>1330000</v>
      </c>
    </row>
    <row r="14" spans="1:23" x14ac:dyDescent="0.25">
      <c r="A14" s="21" t="s">
        <v>119</v>
      </c>
      <c r="B14" s="21">
        <v>10550</v>
      </c>
      <c r="I14" t="s">
        <v>133</v>
      </c>
      <c r="J14" s="84">
        <f>-(400000+85000+15000)</f>
        <v>-500000</v>
      </c>
      <c r="K14" s="21">
        <f>100000+28000</f>
        <v>128000</v>
      </c>
    </row>
    <row r="15" spans="1:23" x14ac:dyDescent="0.25">
      <c r="A15" s="21" t="s">
        <v>120</v>
      </c>
      <c r="B15" s="21">
        <v>0</v>
      </c>
      <c r="D15" s="21" t="s">
        <v>122</v>
      </c>
      <c r="E15" s="46" t="e">
        <f>B7</f>
        <v>#REF!</v>
      </c>
      <c r="F15" s="46">
        <f>C3+G3</f>
        <v>51000</v>
      </c>
      <c r="I15" t="s">
        <v>135</v>
      </c>
      <c r="J15" s="21">
        <f>50000-50000</f>
        <v>0</v>
      </c>
      <c r="K15" s="46">
        <f>SUM(K13:K14)</f>
        <v>1458000</v>
      </c>
    </row>
    <row r="16" spans="1:23" x14ac:dyDescent="0.25">
      <c r="A16" s="21" t="s">
        <v>76</v>
      </c>
      <c r="B16" s="21">
        <v>0</v>
      </c>
      <c r="D16" s="21" t="s">
        <v>116</v>
      </c>
      <c r="E16" s="46">
        <f>B12</f>
        <v>17720</v>
      </c>
      <c r="F16" s="46">
        <f>E16</f>
        <v>17720</v>
      </c>
      <c r="I16" t="s">
        <v>134</v>
      </c>
      <c r="J16" s="21" t="e">
        <f>SUM(#REF!)</f>
        <v>#REF!</v>
      </c>
    </row>
    <row r="17" spans="1:10" x14ac:dyDescent="0.25">
      <c r="A17" s="21" t="s">
        <v>121</v>
      </c>
      <c r="B17" s="21" t="e">
        <f>SUM(B11:B16)</f>
        <v>#REF!</v>
      </c>
      <c r="D17" s="21" t="s">
        <v>123</v>
      </c>
      <c r="E17" s="46" t="e">
        <f>E15-E16</f>
        <v>#REF!</v>
      </c>
      <c r="F17" s="46">
        <f>F15-F16</f>
        <v>33280</v>
      </c>
      <c r="J17" s="47" t="e">
        <f>SUM(J12:J16)</f>
        <v>#REF!</v>
      </c>
    </row>
    <row r="18" spans="1:10" x14ac:dyDescent="0.25">
      <c r="D18" s="21" t="s">
        <v>124</v>
      </c>
      <c r="E18" s="46">
        <f>B13</f>
        <v>62000</v>
      </c>
      <c r="J18" s="21" t="e">
        <f>B7</f>
        <v>#REF!</v>
      </c>
    </row>
    <row r="19" spans="1:10" x14ac:dyDescent="0.25">
      <c r="D19" s="21" t="s">
        <v>125</v>
      </c>
      <c r="E19" s="132" t="e">
        <f>E17-E18</f>
        <v>#REF!</v>
      </c>
      <c r="J19" s="47" t="e">
        <f>J17+J18</f>
        <v>#REF!</v>
      </c>
    </row>
    <row r="20" spans="1:10" x14ac:dyDescent="0.25">
      <c r="A20" s="21" t="s">
        <v>5</v>
      </c>
      <c r="B20" s="21" t="e">
        <f>J19</f>
        <v>#REF!</v>
      </c>
    </row>
    <row r="21" spans="1:10" x14ac:dyDescent="0.25">
      <c r="A21" s="21" t="s">
        <v>126</v>
      </c>
      <c r="B21" s="21" t="e">
        <f>B17</f>
        <v>#REF!</v>
      </c>
      <c r="J21" s="21">
        <v>1800000</v>
      </c>
    </row>
    <row r="22" spans="1:10" x14ac:dyDescent="0.25">
      <c r="A22" s="21" t="s">
        <v>127</v>
      </c>
      <c r="B22" s="47" t="e">
        <f>B20-B21</f>
        <v>#REF!</v>
      </c>
      <c r="J22" s="47" t="e">
        <f>J19+J21</f>
        <v>#REF!</v>
      </c>
    </row>
    <row r="23" spans="1:10" x14ac:dyDescent="0.25">
      <c r="B23" s="21">
        <v>262000</v>
      </c>
    </row>
  </sheetData>
  <mergeCells count="13">
    <mergeCell ref="M1:O1"/>
    <mergeCell ref="D9:E9"/>
    <mergeCell ref="F9:G9"/>
    <mergeCell ref="H9:I9"/>
    <mergeCell ref="D10:K10"/>
    <mergeCell ref="I1:L1"/>
    <mergeCell ref="A1:D1"/>
    <mergeCell ref="E1:H1"/>
    <mergeCell ref="D6:E6"/>
    <mergeCell ref="F6:G6"/>
    <mergeCell ref="H6:I6"/>
    <mergeCell ref="J6:K6"/>
    <mergeCell ref="D5:J5"/>
  </mergeCells>
  <conditionalFormatting sqref="A2:D2">
    <cfRule type="expression" dxfId="42" priority="31">
      <formula>MOD(COLUMN(),2)=0</formula>
    </cfRule>
  </conditionalFormatting>
  <conditionalFormatting sqref="E2:H2">
    <cfRule type="expression" dxfId="41" priority="24">
      <formula>MOD(COLUMN(),2)=0</formula>
    </cfRule>
  </conditionalFormatting>
  <conditionalFormatting sqref="I2:L2">
    <cfRule type="expression" dxfId="40" priority="17">
      <formula>MOD(COLUMN(),2)=0</formula>
    </cfRule>
  </conditionalFormatting>
  <conditionalFormatting sqref="A5">
    <cfRule type="expression" dxfId="39" priority="10">
      <formula>MOD(COLUMN(),2)=0</formula>
    </cfRule>
  </conditionalFormatting>
  <conditionalFormatting sqref="A6">
    <cfRule type="expression" dxfId="38" priority="9">
      <formula>MOD(COLUMN(),2)=0</formula>
    </cfRule>
  </conditionalFormatting>
  <conditionalFormatting sqref="A7">
    <cfRule type="expression" dxfId="37" priority="8">
      <formula>MOD(COLUMN(),2)=0</formula>
    </cfRule>
  </conditionalFormatting>
  <conditionalFormatting sqref="A8">
    <cfRule type="expression" dxfId="36" priority="5">
      <formula>MOD(COLUMN(),2)=0</formula>
    </cfRule>
  </conditionalFormatting>
  <pageMargins left="0.7" right="0.7" top="0.75" bottom="0.75" header="0.3" footer="0.3"/>
  <pageSetup orientation="portrait" horizontalDpi="300" verticalDpi="0" copies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" operator="containsText" id="{D077C389-83E3-4862-BC54-3A1793AA23E7}">
            <xm:f>NOT(ISERROR(SEARCH("-",C2)))</xm:f>
            <xm:f>"-"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0" operator="containsText" id="{A0FF205F-5E95-49BD-99E3-D17990423CB0}">
            <xm:f>NOT(ISERROR(SEARCH("+",C2)))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containsText" priority="25" operator="containsText" id="{A27D8DFA-6230-40C4-A43E-27011BE81BA2}">
            <xm:f>NOT(ISERROR(SEARCH("-",D2)))</xm:f>
            <xm:f>"-"</xm:f>
            <x14:dxf>
              <font>
                <color theme="1"/>
              </font>
            </x14:dxf>
          </x14:cfRule>
          <x14:cfRule type="containsText" priority="26" operator="containsText" id="{FF24C23B-4107-418B-A0A7-5D97BAFE6D8C}">
            <xm:f>NOT(ISERROR(SEARCH("-",D2)))</xm:f>
            <xm:f>"-"</xm:f>
            <x14:dxf>
              <fill>
                <patternFill>
                  <bgColor rgb="FFFF99CC"/>
                </patternFill>
              </fill>
            </x14:dxf>
          </x14:cfRule>
          <x14:cfRule type="containsText" priority="27" operator="containsText" id="{44CC5B9F-9ACE-4DA4-8173-D3ADD0777404}">
            <xm:f>NOT(ISERROR(SEARCH("-",D2)))</xm:f>
            <xm:f>"-"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8" operator="containsText" id="{2F76FD89-4E9B-4AD3-A61B-0C8E951629F1}">
            <xm:f>NOT(ISERROR(SEARCH("-",D2)))</xm:f>
            <xm:f>"-"</xm:f>
            <x14:dxf>
              <font>
                <color rgb="FF00B050"/>
              </font>
            </x14:dxf>
          </x14:cfRule>
          <xm:sqref>D2</xm:sqref>
        </x14:conditionalFormatting>
        <x14:conditionalFormatting xmlns:xm="http://schemas.microsoft.com/office/excel/2006/main">
          <x14:cfRule type="containsText" priority="22" operator="containsText" id="{A03293E5-F39B-4D02-A655-64DAECCEA9BB}">
            <xm:f>NOT(ISERROR(SEARCH("-",G2)))</xm:f>
            <xm:f>"-"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3" operator="containsText" id="{E26E22B2-87F1-4A1F-9153-18C3BD95714B}">
            <xm:f>NOT(ISERROR(SEARCH("+",G2)))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G2</xm:sqref>
        </x14:conditionalFormatting>
        <x14:conditionalFormatting xmlns:xm="http://schemas.microsoft.com/office/excel/2006/main">
          <x14:cfRule type="containsText" priority="18" operator="containsText" id="{F79A67D2-2C95-4B81-B5E0-2DCA6A5006E4}">
            <xm:f>NOT(ISERROR(SEARCH("-",H2)))</xm:f>
            <xm:f>"-"</xm:f>
            <x14:dxf>
              <font>
                <color theme="1"/>
              </font>
            </x14:dxf>
          </x14:cfRule>
          <x14:cfRule type="containsText" priority="19" operator="containsText" id="{32E8803D-BCCD-4300-B27A-4CDE756994FF}">
            <xm:f>NOT(ISERROR(SEARCH("-",H2)))</xm:f>
            <xm:f>"-"</xm:f>
            <x14:dxf>
              <fill>
                <patternFill>
                  <bgColor rgb="FFFF99CC"/>
                </patternFill>
              </fill>
            </x14:dxf>
          </x14:cfRule>
          <x14:cfRule type="containsText" priority="20" operator="containsText" id="{7A4DE029-2060-4721-A1DC-3F5C4BE739C1}">
            <xm:f>NOT(ISERROR(SEARCH("-",H2)))</xm:f>
            <xm:f>"-"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1" operator="containsText" id="{88537C9C-6C26-4CF5-B7D9-5BDB0C7C3A4A}">
            <xm:f>NOT(ISERROR(SEARCH("-",H2)))</xm:f>
            <xm:f>"-"</xm:f>
            <x14:dxf>
              <font>
                <color rgb="FF00B050"/>
              </font>
            </x14:dxf>
          </x14:cfRule>
          <xm:sqref>H2</xm:sqref>
        </x14:conditionalFormatting>
        <x14:conditionalFormatting xmlns:xm="http://schemas.microsoft.com/office/excel/2006/main">
          <x14:cfRule type="containsText" priority="15" operator="containsText" id="{5DE87502-E888-404A-A10D-CCBA3F09D714}">
            <xm:f>NOT(ISERROR(SEARCH("-",K2)))</xm:f>
            <xm:f>"-"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6" operator="containsText" id="{5F047BB8-A7D6-4CCC-BFF7-8AC629A32D77}">
            <xm:f>NOT(ISERROR(SEARCH("+",K2)))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K2</xm:sqref>
        </x14:conditionalFormatting>
        <x14:conditionalFormatting xmlns:xm="http://schemas.microsoft.com/office/excel/2006/main">
          <x14:cfRule type="containsText" priority="11" operator="containsText" id="{2B16AFC7-3094-4919-8550-DBD74C36B14B}">
            <xm:f>NOT(ISERROR(SEARCH("-",L2)))</xm:f>
            <xm:f>"-"</xm:f>
            <x14:dxf>
              <font>
                <color theme="1"/>
              </font>
            </x14:dxf>
          </x14:cfRule>
          <x14:cfRule type="containsText" priority="12" operator="containsText" id="{43C6737F-7E69-4D0A-A489-F5122211A421}">
            <xm:f>NOT(ISERROR(SEARCH("-",L2)))</xm:f>
            <xm:f>"-"</xm:f>
            <x14:dxf>
              <fill>
                <patternFill>
                  <bgColor rgb="FFFF99CC"/>
                </patternFill>
              </fill>
            </x14:dxf>
          </x14:cfRule>
          <x14:cfRule type="containsText" priority="13" operator="containsText" id="{D8284A35-2BB4-4AF4-8F52-A600302A58D2}">
            <xm:f>NOT(ISERROR(SEARCH("-",L2)))</xm:f>
            <xm:f>"-"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4" operator="containsText" id="{BD73DB41-F17A-4CC5-9567-93BA671C6958}">
            <xm:f>NOT(ISERROR(SEARCH("-",L2)))</xm:f>
            <xm:f>"-"</xm:f>
            <x14:dxf>
              <font>
                <color rgb="FF00B050"/>
              </font>
            </x14:dxf>
          </x14:cfRule>
          <xm:sqref>L2</xm:sqref>
        </x14:conditionalFormatting>
        <x14:conditionalFormatting xmlns:xm="http://schemas.microsoft.com/office/excel/2006/main">
          <x14:cfRule type="containsText" priority="6" operator="containsText" id="{BED1D787-64E6-4596-A62D-EFCAABC9933B}">
            <xm:f>NOT(ISERROR(SEARCH("-",A7)))</xm:f>
            <xm:f>"-"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7" operator="containsText" id="{59515F87-D395-49EB-80C2-D8B332D93E2D}">
            <xm:f>NOT(ISERROR(SEARCH("+",A7)))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A7</xm:sqref>
        </x14:conditionalFormatting>
        <x14:conditionalFormatting xmlns:xm="http://schemas.microsoft.com/office/excel/2006/main">
          <x14:cfRule type="containsText" priority="1" operator="containsText" id="{8AD11C48-E968-4395-B1A4-AA122C863C0B}">
            <xm:f>NOT(ISERROR(SEARCH("-",A8)))</xm:f>
            <xm:f>"-"</xm:f>
            <x14:dxf>
              <font>
                <color theme="1"/>
              </font>
            </x14:dxf>
          </x14:cfRule>
          <x14:cfRule type="containsText" priority="2" operator="containsText" id="{167224E8-A634-4060-8D10-31DFDD31AC78}">
            <xm:f>NOT(ISERROR(SEARCH("-",A8)))</xm:f>
            <xm:f>"-"</xm:f>
            <x14:dxf>
              <fill>
                <patternFill>
                  <bgColor rgb="FFFF99CC"/>
                </patternFill>
              </fill>
            </x14:dxf>
          </x14:cfRule>
          <x14:cfRule type="containsText" priority="3" operator="containsText" id="{A2ECDC48-98AC-4DEB-9300-38E463BEB454}">
            <xm:f>NOT(ISERROR(SEARCH("-",A8)))</xm:f>
            <xm:f>"-"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" operator="containsText" id="{8F98755C-1DD4-42B4-8698-97B042119ECA}">
            <xm:f>NOT(ISERROR(SEARCH("-",A8)))</xm:f>
            <xm:f>"-"</xm:f>
            <x14:dxf>
              <font>
                <color rgb="FF00B050"/>
              </font>
            </x14:dxf>
          </x14:cfRule>
          <xm:sqref>A8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V20"/>
  <sheetViews>
    <sheetView workbookViewId="0">
      <pane xSplit="1" topLeftCell="B1" activePane="topRight" state="frozen"/>
      <selection pane="topRight" activeCell="F17" sqref="F17"/>
    </sheetView>
  </sheetViews>
  <sheetFormatPr defaultColWidth="14.7109375" defaultRowHeight="15" x14ac:dyDescent="0.25"/>
  <cols>
    <col min="1" max="1" width="16.140625" bestFit="1" customWidth="1"/>
  </cols>
  <sheetData>
    <row r="1" spans="1:100" x14ac:dyDescent="0.25">
      <c r="A1" s="91" t="s">
        <v>0</v>
      </c>
      <c r="B1">
        <v>1</v>
      </c>
      <c r="C1" s="153" t="s">
        <v>0</v>
      </c>
      <c r="D1">
        <v>2</v>
      </c>
      <c r="E1" s="153" t="s">
        <v>0</v>
      </c>
      <c r="F1">
        <v>3</v>
      </c>
      <c r="G1" s="153" t="s">
        <v>0</v>
      </c>
      <c r="H1">
        <v>4</v>
      </c>
      <c r="I1" s="153" t="s">
        <v>0</v>
      </c>
      <c r="J1">
        <v>5</v>
      </c>
      <c r="K1" s="153" t="s">
        <v>0</v>
      </c>
      <c r="L1">
        <v>6</v>
      </c>
      <c r="M1" s="153"/>
      <c r="N1">
        <v>7</v>
      </c>
      <c r="O1" s="153"/>
      <c r="P1">
        <v>8</v>
      </c>
      <c r="Q1" s="153"/>
      <c r="R1">
        <v>9</v>
      </c>
      <c r="S1" s="153"/>
      <c r="T1">
        <v>10</v>
      </c>
      <c r="U1" s="153"/>
      <c r="V1">
        <v>11</v>
      </c>
      <c r="W1" s="153"/>
      <c r="X1">
        <v>12</v>
      </c>
      <c r="Y1" s="153"/>
      <c r="Z1">
        <v>13</v>
      </c>
      <c r="AA1" s="153"/>
      <c r="AB1">
        <v>14</v>
      </c>
      <c r="AC1" s="153"/>
      <c r="AD1">
        <v>15</v>
      </c>
      <c r="AE1" s="153"/>
      <c r="AF1">
        <v>16</v>
      </c>
      <c r="AG1" s="153"/>
      <c r="AH1">
        <v>17</v>
      </c>
      <c r="AI1" s="153"/>
      <c r="AJ1">
        <v>18</v>
      </c>
      <c r="AK1" s="153"/>
      <c r="AL1">
        <v>19</v>
      </c>
      <c r="AM1" s="153"/>
      <c r="AN1">
        <v>20</v>
      </c>
      <c r="AO1" s="153"/>
      <c r="AP1">
        <v>21</v>
      </c>
      <c r="AQ1" s="153"/>
      <c r="AR1">
        <v>22</v>
      </c>
      <c r="AS1" s="153"/>
      <c r="AT1">
        <v>23</v>
      </c>
      <c r="AU1" s="153"/>
      <c r="AV1">
        <v>24</v>
      </c>
      <c r="AW1" s="153"/>
      <c r="AX1">
        <v>25</v>
      </c>
      <c r="AY1">
        <v>26</v>
      </c>
      <c r="AZ1" s="153"/>
      <c r="BA1">
        <v>27</v>
      </c>
      <c r="BB1" s="153"/>
      <c r="BC1">
        <v>28</v>
      </c>
      <c r="BD1" s="153"/>
      <c r="BE1">
        <v>29</v>
      </c>
      <c r="BF1" s="153"/>
      <c r="BG1">
        <v>30</v>
      </c>
      <c r="BH1">
        <v>31</v>
      </c>
      <c r="BI1">
        <v>32</v>
      </c>
      <c r="BJ1">
        <v>33</v>
      </c>
      <c r="BK1">
        <v>34</v>
      </c>
      <c r="BL1">
        <v>35</v>
      </c>
      <c r="BM1">
        <v>36</v>
      </c>
      <c r="BN1">
        <v>37</v>
      </c>
      <c r="BO1">
        <v>38</v>
      </c>
      <c r="BP1">
        <v>39</v>
      </c>
      <c r="BQ1">
        <v>40</v>
      </c>
      <c r="BR1">
        <v>41</v>
      </c>
      <c r="BS1">
        <v>42</v>
      </c>
      <c r="BT1">
        <v>43</v>
      </c>
      <c r="BU1">
        <v>44</v>
      </c>
      <c r="BV1">
        <v>45</v>
      </c>
      <c r="BW1">
        <v>46</v>
      </c>
      <c r="BX1">
        <v>47</v>
      </c>
      <c r="BY1">
        <v>48</v>
      </c>
      <c r="BZ1">
        <v>49</v>
      </c>
      <c r="CA1">
        <v>50</v>
      </c>
      <c r="CB1">
        <v>51</v>
      </c>
      <c r="CC1">
        <v>52</v>
      </c>
      <c r="CD1">
        <v>53</v>
      </c>
      <c r="CE1">
        <v>54</v>
      </c>
      <c r="CF1">
        <v>55</v>
      </c>
      <c r="CG1">
        <v>56</v>
      </c>
      <c r="CH1">
        <v>57</v>
      </c>
      <c r="CI1">
        <v>58</v>
      </c>
      <c r="CJ1">
        <v>59</v>
      </c>
      <c r="CK1">
        <v>60</v>
      </c>
      <c r="CL1">
        <v>61</v>
      </c>
      <c r="CM1">
        <v>62</v>
      </c>
      <c r="CN1">
        <v>63</v>
      </c>
      <c r="CO1">
        <v>64</v>
      </c>
      <c r="CP1">
        <v>65</v>
      </c>
      <c r="CQ1">
        <v>66</v>
      </c>
      <c r="CR1">
        <v>67</v>
      </c>
      <c r="CS1">
        <v>68</v>
      </c>
      <c r="CT1">
        <v>69</v>
      </c>
      <c r="CU1">
        <v>70</v>
      </c>
      <c r="CV1">
        <v>71</v>
      </c>
    </row>
    <row r="2" spans="1:100" x14ac:dyDescent="0.25">
      <c r="A2" s="91"/>
      <c r="B2" t="s">
        <v>37</v>
      </c>
      <c r="C2" s="153"/>
      <c r="D2" t="s">
        <v>40</v>
      </c>
      <c r="E2" s="153"/>
      <c r="F2" t="s">
        <v>41</v>
      </c>
      <c r="G2" s="153"/>
      <c r="H2" t="s">
        <v>49</v>
      </c>
      <c r="I2" s="153"/>
      <c r="J2" t="s">
        <v>50</v>
      </c>
      <c r="K2" s="153"/>
      <c r="L2" t="s">
        <v>39</v>
      </c>
      <c r="M2" s="153"/>
      <c r="N2" t="s">
        <v>51</v>
      </c>
      <c r="O2" s="153"/>
      <c r="P2" t="s">
        <v>52</v>
      </c>
      <c r="Q2" s="153"/>
      <c r="R2" t="s">
        <v>53</v>
      </c>
      <c r="S2" s="153"/>
      <c r="T2" t="s">
        <v>54</v>
      </c>
      <c r="U2" s="153"/>
      <c r="V2" t="s">
        <v>55</v>
      </c>
      <c r="W2" s="153"/>
      <c r="X2" t="s">
        <v>56</v>
      </c>
      <c r="Y2" s="153"/>
      <c r="Z2" t="s">
        <v>57</v>
      </c>
      <c r="AA2" s="153"/>
      <c r="AB2" t="s">
        <v>58</v>
      </c>
      <c r="AC2" s="153"/>
      <c r="AD2" t="s">
        <v>59</v>
      </c>
      <c r="AE2" s="153"/>
      <c r="AF2" t="s">
        <v>60</v>
      </c>
      <c r="AG2" s="153"/>
      <c r="AH2" t="s">
        <v>47</v>
      </c>
      <c r="AI2" s="153"/>
      <c r="AJ2" t="s">
        <v>61</v>
      </c>
      <c r="AK2" s="153"/>
      <c r="AL2" t="s">
        <v>62</v>
      </c>
      <c r="AM2" s="153"/>
      <c r="AN2" t="s">
        <v>63</v>
      </c>
      <c r="AO2" s="153"/>
      <c r="AP2" t="s">
        <v>64</v>
      </c>
      <c r="AQ2" s="153"/>
      <c r="AR2" t="s">
        <v>65</v>
      </c>
      <c r="AS2" s="153"/>
      <c r="AT2" t="s">
        <v>48</v>
      </c>
      <c r="AU2" s="153"/>
      <c r="AV2" t="s">
        <v>47</v>
      </c>
      <c r="AW2" s="153"/>
      <c r="AX2" t="s">
        <v>43</v>
      </c>
      <c r="AY2" t="s">
        <v>66</v>
      </c>
      <c r="AZ2" s="153"/>
      <c r="BA2" t="s">
        <v>67</v>
      </c>
      <c r="BB2" s="153"/>
      <c r="BC2" t="s">
        <v>79</v>
      </c>
      <c r="BD2" s="153"/>
      <c r="BE2" t="s">
        <v>80</v>
      </c>
      <c r="BF2" s="153"/>
      <c r="BG2" t="s">
        <v>81</v>
      </c>
    </row>
    <row r="3" spans="1:100" s="22" customFormat="1" x14ac:dyDescent="0.25">
      <c r="A3" s="91"/>
      <c r="C3" s="153"/>
      <c r="E3" s="153"/>
      <c r="G3" s="153"/>
      <c r="I3" s="153"/>
      <c r="K3" s="153"/>
      <c r="M3" s="153"/>
      <c r="O3" s="153"/>
      <c r="Q3" s="153"/>
      <c r="S3" s="153"/>
      <c r="U3" s="153"/>
      <c r="W3" s="153"/>
      <c r="Y3" s="153"/>
      <c r="AA3" s="153"/>
      <c r="AC3" s="153"/>
      <c r="AE3" s="153"/>
      <c r="AG3" s="153"/>
      <c r="AI3" s="153"/>
      <c r="AK3" s="153"/>
      <c r="AM3" s="153"/>
      <c r="AO3" s="153"/>
      <c r="AQ3" s="153"/>
      <c r="AS3" s="153"/>
      <c r="AU3" s="153"/>
      <c r="AW3" s="153"/>
      <c r="AZ3" s="153"/>
      <c r="BB3" s="153"/>
      <c r="BD3" s="153"/>
      <c r="BF3" s="153"/>
    </row>
    <row r="4" spans="1:100" s="30" customFormat="1" x14ac:dyDescent="0.25">
      <c r="A4" s="92"/>
      <c r="B4" s="29">
        <v>0.1</v>
      </c>
      <c r="C4" s="154"/>
      <c r="D4" s="29">
        <v>0.1</v>
      </c>
      <c r="E4" s="154"/>
      <c r="F4" s="29">
        <v>0.1</v>
      </c>
      <c r="G4" s="154"/>
      <c r="H4" s="29">
        <v>0.1</v>
      </c>
      <c r="I4" s="154"/>
      <c r="J4" s="29">
        <v>0.1</v>
      </c>
      <c r="K4" s="154"/>
      <c r="L4" s="29">
        <v>0.1</v>
      </c>
      <c r="M4" s="154"/>
      <c r="N4" s="29">
        <v>0.1</v>
      </c>
      <c r="O4" s="154"/>
      <c r="P4" s="29">
        <v>0.1</v>
      </c>
      <c r="Q4" s="154"/>
      <c r="R4" s="29">
        <v>0.1</v>
      </c>
      <c r="S4" s="154"/>
      <c r="T4" s="29">
        <v>0.1</v>
      </c>
      <c r="U4" s="154"/>
      <c r="V4" s="29">
        <v>0.1</v>
      </c>
      <c r="W4" s="154"/>
      <c r="X4" s="29">
        <v>0.1</v>
      </c>
      <c r="Y4" s="154"/>
      <c r="Z4" s="29">
        <v>0.1</v>
      </c>
      <c r="AA4" s="154"/>
      <c r="AB4" s="29">
        <v>0.1</v>
      </c>
      <c r="AC4" s="154"/>
      <c r="AD4" s="29">
        <v>0.1</v>
      </c>
      <c r="AE4" s="154"/>
      <c r="AF4" s="29">
        <v>0.1</v>
      </c>
      <c r="AG4" s="154"/>
      <c r="AH4" s="29">
        <v>0.1</v>
      </c>
      <c r="AI4" s="154"/>
      <c r="AJ4" s="29">
        <v>0.1</v>
      </c>
      <c r="AK4" s="154"/>
      <c r="AL4" s="29">
        <v>0.1</v>
      </c>
      <c r="AM4" s="154"/>
      <c r="AN4" s="29">
        <v>0.1</v>
      </c>
      <c r="AO4" s="154"/>
      <c r="AP4" s="29">
        <v>0.1</v>
      </c>
      <c r="AQ4" s="154"/>
      <c r="AR4" s="29">
        <v>0.1</v>
      </c>
      <c r="AS4" s="154"/>
      <c r="AT4" s="29">
        <v>0.1</v>
      </c>
      <c r="AU4" s="154"/>
      <c r="AV4" s="29">
        <v>0.1</v>
      </c>
      <c r="AW4" s="154"/>
      <c r="AX4" s="29">
        <v>0.1</v>
      </c>
      <c r="AY4" s="29">
        <v>0.1</v>
      </c>
      <c r="AZ4" s="154"/>
      <c r="BA4" s="29">
        <v>0.1</v>
      </c>
      <c r="BB4" s="154"/>
      <c r="BC4" s="29">
        <v>0.1</v>
      </c>
      <c r="BD4" s="154"/>
      <c r="BE4" s="29">
        <v>0.1</v>
      </c>
      <c r="BF4" s="154"/>
      <c r="BG4" s="29">
        <v>0.1</v>
      </c>
      <c r="BH4" s="29">
        <v>0.1</v>
      </c>
      <c r="BI4" s="29">
        <v>0.1</v>
      </c>
      <c r="BJ4" s="29">
        <v>0.1</v>
      </c>
      <c r="BK4" s="29">
        <v>0.1</v>
      </c>
      <c r="BL4" s="29">
        <v>0.1</v>
      </c>
      <c r="BM4" s="29">
        <v>0.1</v>
      </c>
      <c r="BN4" s="29">
        <v>0.1</v>
      </c>
      <c r="BO4" s="29">
        <v>0.1</v>
      </c>
      <c r="BP4" s="29">
        <v>0.1</v>
      </c>
      <c r="BQ4" s="29">
        <v>0.1</v>
      </c>
      <c r="BR4" s="29">
        <v>0.1</v>
      </c>
      <c r="BS4" s="29">
        <v>0.1</v>
      </c>
      <c r="BT4" s="29">
        <v>0.1</v>
      </c>
      <c r="BU4" s="29">
        <v>0.1</v>
      </c>
      <c r="BV4" s="29">
        <v>0.1</v>
      </c>
      <c r="BW4" s="29">
        <v>0.1</v>
      </c>
      <c r="BX4" s="29">
        <v>0.1</v>
      </c>
      <c r="BY4" s="29">
        <v>0.1</v>
      </c>
      <c r="BZ4" s="29">
        <v>0.1</v>
      </c>
      <c r="CA4" s="29">
        <v>0.1</v>
      </c>
      <c r="CB4" s="29">
        <v>0.1</v>
      </c>
      <c r="CC4" s="29">
        <v>0.1</v>
      </c>
      <c r="CD4" s="29">
        <v>0.1</v>
      </c>
      <c r="CE4" s="29">
        <v>0.1</v>
      </c>
      <c r="CF4" s="29">
        <v>0.1</v>
      </c>
      <c r="CG4" s="29">
        <v>0.1</v>
      </c>
      <c r="CH4" s="29">
        <v>0.1</v>
      </c>
      <c r="CI4" s="29">
        <v>0.1</v>
      </c>
      <c r="CJ4" s="29">
        <v>0.1</v>
      </c>
      <c r="CK4" s="29">
        <v>0.1</v>
      </c>
      <c r="CL4" s="29">
        <v>0.1</v>
      </c>
      <c r="CM4" s="29">
        <v>0.1</v>
      </c>
      <c r="CN4" s="29">
        <v>0.1</v>
      </c>
    </row>
    <row r="5" spans="1:100" s="23" customFormat="1" x14ac:dyDescent="0.25">
      <c r="A5" s="22"/>
      <c r="B5" s="28">
        <v>50000</v>
      </c>
      <c r="C5" s="28"/>
      <c r="D5" s="28">
        <v>10000</v>
      </c>
      <c r="E5" s="28"/>
      <c r="F5" s="28">
        <v>5000</v>
      </c>
      <c r="G5" s="28"/>
      <c r="H5" s="28">
        <f>50000-30000</f>
        <v>20000</v>
      </c>
      <c r="I5" s="90"/>
      <c r="J5" s="5">
        <f>10000-2000</f>
        <v>8000</v>
      </c>
      <c r="K5" s="5"/>
      <c r="L5" s="5">
        <v>20000</v>
      </c>
      <c r="M5" s="5"/>
      <c r="N5" s="5">
        <v>15000</v>
      </c>
      <c r="O5" s="5"/>
      <c r="P5" s="5">
        <v>25000</v>
      </c>
      <c r="Q5" s="5"/>
      <c r="R5" s="5">
        <v>80000</v>
      </c>
      <c r="S5" s="5"/>
      <c r="T5" s="5">
        <v>30000</v>
      </c>
      <c r="U5" s="5"/>
      <c r="V5" s="5">
        <v>20000</v>
      </c>
      <c r="W5" s="5"/>
      <c r="X5" s="5">
        <v>350000</v>
      </c>
      <c r="Y5" s="5"/>
      <c r="Z5" s="5">
        <v>50000</v>
      </c>
      <c r="AA5" s="5"/>
      <c r="AB5" s="5">
        <v>170000</v>
      </c>
      <c r="AC5" s="5"/>
      <c r="AD5" s="5">
        <v>500000</v>
      </c>
      <c r="AE5" s="5"/>
      <c r="AF5" s="5">
        <v>25000</v>
      </c>
      <c r="AG5" s="5"/>
      <c r="AH5" s="5">
        <v>20000</v>
      </c>
      <c r="AI5" s="5"/>
      <c r="AJ5" s="5">
        <v>100000</v>
      </c>
      <c r="AK5" s="5"/>
      <c r="AL5" s="5">
        <v>300000</v>
      </c>
      <c r="AM5" s="5"/>
      <c r="AN5" s="5">
        <v>10000</v>
      </c>
      <c r="AO5" s="5"/>
      <c r="AP5" s="5">
        <v>100000</v>
      </c>
      <c r="AQ5" s="5"/>
      <c r="AR5" s="5">
        <v>200000</v>
      </c>
      <c r="AS5" s="5"/>
      <c r="AT5" s="5">
        <v>50000</v>
      </c>
      <c r="AU5" s="5"/>
      <c r="AV5" s="5">
        <v>50000</v>
      </c>
      <c r="AW5" s="5"/>
      <c r="AX5" s="5">
        <v>30000</v>
      </c>
      <c r="AY5" s="5">
        <v>215000</v>
      </c>
      <c r="AZ5" s="5"/>
      <c r="BA5" s="5">
        <v>15000</v>
      </c>
      <c r="BB5" s="5"/>
      <c r="BC5" s="5">
        <v>200000</v>
      </c>
      <c r="BD5" s="5"/>
      <c r="BE5" s="5">
        <v>65000</v>
      </c>
      <c r="BF5" s="5"/>
      <c r="BG5" s="5">
        <v>5000</v>
      </c>
    </row>
    <row r="6" spans="1:100" x14ac:dyDescent="0.25">
      <c r="A6" s="5"/>
      <c r="B6" s="93"/>
      <c r="D6" s="93">
        <v>1000</v>
      </c>
      <c r="F6" s="93">
        <v>0</v>
      </c>
      <c r="H6" s="93">
        <f>4000+4000</f>
        <v>8000</v>
      </c>
      <c r="J6" s="93">
        <v>1000</v>
      </c>
    </row>
    <row r="7" spans="1:100" x14ac:dyDescent="0.25">
      <c r="B7" s="46"/>
      <c r="D7" s="93">
        <v>1000</v>
      </c>
      <c r="H7" s="93"/>
    </row>
    <row r="8" spans="1:100" x14ac:dyDescent="0.25">
      <c r="A8" s="5"/>
    </row>
    <row r="10" spans="1:100" x14ac:dyDescent="0.25">
      <c r="A10" s="5"/>
    </row>
    <row r="12" spans="1:100" x14ac:dyDescent="0.25">
      <c r="A12" s="5"/>
    </row>
    <row r="14" spans="1:100" x14ac:dyDescent="0.25">
      <c r="A14" s="5"/>
    </row>
    <row r="18" spans="1:1" ht="15.75" x14ac:dyDescent="0.25">
      <c r="A18" s="48"/>
    </row>
    <row r="20" spans="1:1" x14ac:dyDescent="0.25">
      <c r="A20" s="5"/>
    </row>
  </sheetData>
  <mergeCells count="28">
    <mergeCell ref="BB1:BB4"/>
    <mergeCell ref="BD1:BD4"/>
    <mergeCell ref="BF1:BF4"/>
    <mergeCell ref="AS1:AS4"/>
    <mergeCell ref="AU1:AU4"/>
    <mergeCell ref="AZ1:AZ4"/>
    <mergeCell ref="AK1:AK4"/>
    <mergeCell ref="AM1:AM4"/>
    <mergeCell ref="AO1:AO4"/>
    <mergeCell ref="AQ1:AQ4"/>
    <mergeCell ref="AW1:AW4"/>
    <mergeCell ref="AI1:AI4"/>
    <mergeCell ref="O1:O4"/>
    <mergeCell ref="M1:M4"/>
    <mergeCell ref="Q1:Q4"/>
    <mergeCell ref="S1:S4"/>
    <mergeCell ref="U1:U4"/>
    <mergeCell ref="W1:W4"/>
    <mergeCell ref="AA1:AA4"/>
    <mergeCell ref="Y1:Y4"/>
    <mergeCell ref="AC1:AC4"/>
    <mergeCell ref="AE1:AE4"/>
    <mergeCell ref="AG1:AG4"/>
    <mergeCell ref="C1:C4"/>
    <mergeCell ref="E1:E4"/>
    <mergeCell ref="G1:G4"/>
    <mergeCell ref="I1:I4"/>
    <mergeCell ref="K1:K4"/>
  </mergeCells>
  <conditionalFormatting sqref="BH2:XFD2 A1:XFD1 A22:XFD1048576 BJ5:XFD5 B6:XFD21 A5:I5 B2:B4 D3:D4 F3:F4 H3:H4 J3:J4 L3:L4 P3:P4 N3:N4 R3:R4 T3:T4 V3:V4 X3:X4 AB3:AB4 Z3:Z4 AD3:AD4 AF3:AF4 AH3:AH4 AJ3:AJ4 AL3:AL4 AN3:AN4 AP3:AP4 AR3:AR4 AX3:AY4 BA3:BA4 BC3:BC4 BE3:BE4 BG3:XFD4 AT3:AT4 AV3:AV4">
    <cfRule type="expression" dxfId="11" priority="2">
      <formula>MOD(COLUMN(),2)=0</formula>
    </cfRule>
  </conditionalFormatting>
  <dataValidations disablePrompts="1" count="1">
    <dataValidation type="list" allowBlank="1" showInputMessage="1" showErrorMessage="1" sqref="B4 D4 F4 H4 J4 N4 L4 P4 R4 T4 V4 Z4 X4 AB4 AD4 AF4 AH4 AJ4 AL4 AN4 AP4 BG4:CN4 AX4:AY4 BA4 BC4 BE4 AR4 AT4 AV4">
      <formula1>"5%,6%,7%,8%,9%,10%"</formula1>
    </dataValidation>
  </dataValidations>
  <pageMargins left="0.7" right="0.7" top="0.75" bottom="0.75" header="0.3" footer="0.3"/>
  <pageSetup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Y13"/>
  <sheetViews>
    <sheetView zoomScaleNormal="100" workbookViewId="0">
      <pane ySplit="1" topLeftCell="A3" activePane="bottomLeft" state="frozen"/>
      <selection pane="bottomLeft" activeCell="A14" sqref="A14:XFD416"/>
    </sheetView>
  </sheetViews>
  <sheetFormatPr defaultRowHeight="15" x14ac:dyDescent="0.25"/>
  <cols>
    <col min="1" max="1" width="13" style="37" customWidth="1"/>
    <col min="2" max="2" width="24.5703125" customWidth="1"/>
    <col min="3" max="3" width="13.140625" customWidth="1"/>
    <col min="4" max="4" width="14.140625" customWidth="1"/>
    <col min="5" max="5" width="10.28515625" style="20" customWidth="1"/>
    <col min="6" max="6" width="10.85546875" style="20" customWidth="1"/>
    <col min="7" max="7" width="13.85546875" style="5" bestFit="1" customWidth="1"/>
    <col min="8" max="8" width="12.42578125" customWidth="1"/>
    <col min="9" max="9" width="11.140625" style="5" customWidth="1"/>
    <col min="10" max="10" width="10.140625" customWidth="1"/>
    <col min="11" max="11" width="14.5703125" style="21" bestFit="1" customWidth="1"/>
    <col min="12" max="12" width="13.28515625" customWidth="1"/>
    <col min="13" max="13" width="15.140625" customWidth="1"/>
    <col min="14" max="14" width="10.28515625" style="86" hidden="1" customWidth="1"/>
    <col min="18" max="18" width="13.28515625" customWidth="1"/>
    <col min="19" max="19" width="11.28515625" customWidth="1"/>
    <col min="37" max="37" width="11.28515625" customWidth="1"/>
    <col min="42" max="42" width="10.5703125" customWidth="1"/>
    <col min="48" max="48" width="13.42578125" customWidth="1"/>
    <col min="50" max="50" width="12.42578125" customWidth="1"/>
    <col min="51" max="51" width="11.42578125" customWidth="1"/>
    <col min="75" max="75" width="9.140625" customWidth="1"/>
  </cols>
  <sheetData>
    <row r="1" spans="1:51" ht="30" x14ac:dyDescent="0.25">
      <c r="A1" s="37" t="s">
        <v>91</v>
      </c>
      <c r="B1" t="s">
        <v>11</v>
      </c>
      <c r="D1" s="22" t="s">
        <v>12</v>
      </c>
      <c r="E1" s="23" t="s">
        <v>13</v>
      </c>
      <c r="F1" s="23" t="s">
        <v>16</v>
      </c>
      <c r="G1" s="27" t="s">
        <v>17</v>
      </c>
      <c r="H1" s="22" t="s">
        <v>26</v>
      </c>
      <c r="I1" s="36" t="s">
        <v>30</v>
      </c>
      <c r="J1" s="24" t="s">
        <v>44</v>
      </c>
      <c r="K1" s="32" t="s">
        <v>92</v>
      </c>
      <c r="L1" s="31" t="s">
        <v>28</v>
      </c>
      <c r="M1" s="31" t="s">
        <v>29</v>
      </c>
      <c r="N1" s="85" t="s">
        <v>27</v>
      </c>
    </row>
    <row r="2" spans="1:51" x14ac:dyDescent="0.25">
      <c r="A2" s="37" t="s">
        <v>91</v>
      </c>
      <c r="B2" t="s">
        <v>21</v>
      </c>
      <c r="D2" s="34">
        <v>779907450</v>
      </c>
      <c r="E2" s="20">
        <v>45856</v>
      </c>
      <c r="F2" s="20">
        <f>E2+60</f>
        <v>45916</v>
      </c>
      <c r="G2" s="5">
        <v>25000</v>
      </c>
      <c r="H2" s="35">
        <v>0.1</v>
      </c>
      <c r="I2" s="5">
        <v>500</v>
      </c>
      <c r="J2">
        <v>60</v>
      </c>
      <c r="K2" s="87">
        <f>I2*J2</f>
        <v>30000</v>
      </c>
      <c r="L2" s="46">
        <f>K2-G2</f>
        <v>5000</v>
      </c>
      <c r="M2" s="46">
        <f>G2-K2</f>
        <v>-5000</v>
      </c>
      <c r="N2" s="85">
        <f>G2*(1+H2*2)</f>
        <v>30000</v>
      </c>
      <c r="O2" s="20">
        <f>E2+1</f>
        <v>45857</v>
      </c>
      <c r="P2" s="20">
        <f>O2+1</f>
        <v>45858</v>
      </c>
      <c r="Q2" s="20">
        <f t="shared" ref="Q2:AY2" si="0">P2+1</f>
        <v>45859</v>
      </c>
      <c r="R2" s="20">
        <f t="shared" si="0"/>
        <v>45860</v>
      </c>
      <c r="S2" s="20">
        <f t="shared" si="0"/>
        <v>45861</v>
      </c>
      <c r="T2" s="20">
        <f t="shared" si="0"/>
        <v>45862</v>
      </c>
      <c r="U2" s="20">
        <f t="shared" si="0"/>
        <v>45863</v>
      </c>
      <c r="V2" s="20">
        <f t="shared" si="0"/>
        <v>45864</v>
      </c>
      <c r="W2" s="20">
        <f t="shared" si="0"/>
        <v>45865</v>
      </c>
      <c r="X2" s="20">
        <f t="shared" si="0"/>
        <v>45866</v>
      </c>
      <c r="Y2" s="20">
        <f t="shared" si="0"/>
        <v>45867</v>
      </c>
      <c r="Z2" s="20">
        <f t="shared" si="0"/>
        <v>45868</v>
      </c>
      <c r="AA2" s="20">
        <f t="shared" si="0"/>
        <v>45869</v>
      </c>
      <c r="AB2" s="20">
        <f t="shared" si="0"/>
        <v>45870</v>
      </c>
      <c r="AC2" s="20">
        <f t="shared" si="0"/>
        <v>45871</v>
      </c>
      <c r="AD2" s="20">
        <f t="shared" si="0"/>
        <v>45872</v>
      </c>
      <c r="AE2" s="20">
        <f t="shared" si="0"/>
        <v>45873</v>
      </c>
      <c r="AF2" s="20">
        <f t="shared" si="0"/>
        <v>45874</v>
      </c>
      <c r="AG2" s="20">
        <f t="shared" si="0"/>
        <v>45875</v>
      </c>
      <c r="AH2" s="20">
        <f t="shared" si="0"/>
        <v>45876</v>
      </c>
      <c r="AI2" s="20">
        <f t="shared" si="0"/>
        <v>45877</v>
      </c>
      <c r="AJ2" s="20">
        <f t="shared" si="0"/>
        <v>45878</v>
      </c>
      <c r="AK2" s="20">
        <f t="shared" si="0"/>
        <v>45879</v>
      </c>
      <c r="AL2" s="20">
        <f t="shared" si="0"/>
        <v>45880</v>
      </c>
      <c r="AM2" s="20">
        <f t="shared" si="0"/>
        <v>45881</v>
      </c>
      <c r="AN2" s="20">
        <f t="shared" si="0"/>
        <v>45882</v>
      </c>
      <c r="AO2" s="20">
        <f t="shared" si="0"/>
        <v>45883</v>
      </c>
      <c r="AP2" s="20">
        <f t="shared" si="0"/>
        <v>45884</v>
      </c>
      <c r="AQ2" s="20">
        <f t="shared" si="0"/>
        <v>45885</v>
      </c>
      <c r="AR2" s="20">
        <f t="shared" si="0"/>
        <v>45886</v>
      </c>
      <c r="AS2" s="20">
        <f t="shared" si="0"/>
        <v>45887</v>
      </c>
      <c r="AT2" s="20">
        <f t="shared" si="0"/>
        <v>45888</v>
      </c>
      <c r="AU2" s="20">
        <f t="shared" si="0"/>
        <v>45889</v>
      </c>
      <c r="AV2" s="20">
        <f t="shared" si="0"/>
        <v>45890</v>
      </c>
      <c r="AW2" s="20">
        <f t="shared" si="0"/>
        <v>45891</v>
      </c>
      <c r="AX2" s="20">
        <f t="shared" si="0"/>
        <v>45892</v>
      </c>
      <c r="AY2" s="20">
        <f t="shared" si="0"/>
        <v>45893</v>
      </c>
    </row>
    <row r="3" spans="1:51" x14ac:dyDescent="0.25">
      <c r="D3" s="34"/>
      <c r="H3" s="35"/>
      <c r="K3" s="87">
        <f t="shared" ref="K3:K13" si="1">I3*J3</f>
        <v>0</v>
      </c>
      <c r="L3" s="46">
        <f t="shared" ref="L3:L13" si="2">K3-G3</f>
        <v>0</v>
      </c>
      <c r="M3" s="46">
        <f t="shared" ref="M3:M13" si="3">G3-K3</f>
        <v>0</v>
      </c>
      <c r="N3" s="85"/>
      <c r="O3">
        <v>500</v>
      </c>
      <c r="P3">
        <v>500</v>
      </c>
      <c r="Q3">
        <v>500</v>
      </c>
      <c r="R3">
        <v>500</v>
      </c>
      <c r="S3">
        <v>500</v>
      </c>
      <c r="T3">
        <v>500</v>
      </c>
      <c r="U3">
        <v>500</v>
      </c>
      <c r="V3">
        <v>500</v>
      </c>
      <c r="W3">
        <v>500</v>
      </c>
      <c r="X3">
        <v>500</v>
      </c>
      <c r="Y3">
        <v>500</v>
      </c>
      <c r="Z3">
        <v>500</v>
      </c>
      <c r="AA3">
        <v>500</v>
      </c>
      <c r="AB3">
        <v>500</v>
      </c>
      <c r="AC3">
        <v>500</v>
      </c>
      <c r="AD3">
        <v>500</v>
      </c>
      <c r="AE3">
        <v>500</v>
      </c>
      <c r="AF3">
        <v>500</v>
      </c>
      <c r="AG3">
        <v>500</v>
      </c>
      <c r="AH3">
        <v>500</v>
      </c>
      <c r="AI3">
        <v>500</v>
      </c>
      <c r="AJ3">
        <v>500</v>
      </c>
      <c r="AK3">
        <v>500</v>
      </c>
      <c r="AL3">
        <v>500</v>
      </c>
      <c r="AM3">
        <v>500</v>
      </c>
      <c r="AN3">
        <v>500</v>
      </c>
      <c r="AO3">
        <v>500</v>
      </c>
      <c r="AP3">
        <v>500</v>
      </c>
      <c r="AQ3">
        <v>500</v>
      </c>
      <c r="AR3">
        <v>500</v>
      </c>
      <c r="AS3">
        <v>500</v>
      </c>
      <c r="AT3">
        <v>500</v>
      </c>
      <c r="AU3">
        <v>500</v>
      </c>
      <c r="AV3">
        <v>500</v>
      </c>
      <c r="AW3">
        <v>500</v>
      </c>
      <c r="AX3">
        <v>500</v>
      </c>
      <c r="AY3">
        <v>500</v>
      </c>
    </row>
    <row r="4" spans="1:51" x14ac:dyDescent="0.25">
      <c r="A4" s="37" t="s">
        <v>104</v>
      </c>
      <c r="B4" t="s">
        <v>32</v>
      </c>
      <c r="D4" s="34">
        <v>776088166</v>
      </c>
      <c r="E4" s="20">
        <v>45857</v>
      </c>
      <c r="F4" s="20">
        <f>E4+60</f>
        <v>45917</v>
      </c>
      <c r="G4" s="5">
        <v>50000</v>
      </c>
      <c r="H4" s="35">
        <v>0.1</v>
      </c>
      <c r="I4" s="5">
        <v>1000</v>
      </c>
      <c r="J4">
        <f>N4/I4</f>
        <v>60</v>
      </c>
      <c r="K4" s="87">
        <f t="shared" si="1"/>
        <v>60000</v>
      </c>
      <c r="L4" s="46">
        <f t="shared" si="2"/>
        <v>10000</v>
      </c>
      <c r="M4" s="46">
        <f t="shared" si="3"/>
        <v>-10000</v>
      </c>
      <c r="N4" s="85">
        <f>G4*(1+H4*2)</f>
        <v>60000</v>
      </c>
    </row>
    <row r="5" spans="1:51" x14ac:dyDescent="0.25">
      <c r="D5" s="34"/>
      <c r="H5" s="35"/>
      <c r="K5" s="87">
        <f t="shared" si="1"/>
        <v>0</v>
      </c>
      <c r="L5" s="46">
        <f t="shared" si="2"/>
        <v>0</v>
      </c>
      <c r="M5" s="46">
        <f t="shared" si="3"/>
        <v>0</v>
      </c>
      <c r="N5" s="85"/>
    </row>
    <row r="6" spans="1:51" x14ac:dyDescent="0.25">
      <c r="A6" s="37">
        <v>3</v>
      </c>
      <c r="B6" t="s">
        <v>33</v>
      </c>
      <c r="D6" s="34">
        <v>768675303</v>
      </c>
      <c r="E6" s="20">
        <v>45859</v>
      </c>
      <c r="F6" s="20">
        <f>E6+60</f>
        <v>45919</v>
      </c>
      <c r="G6" s="5">
        <v>60000</v>
      </c>
      <c r="H6" s="35">
        <v>0.1</v>
      </c>
      <c r="I6" s="5">
        <v>1200</v>
      </c>
      <c r="J6">
        <f>N6/I6</f>
        <v>60</v>
      </c>
      <c r="K6" s="87">
        <f t="shared" si="1"/>
        <v>72000</v>
      </c>
      <c r="L6" s="46">
        <f t="shared" si="2"/>
        <v>12000</v>
      </c>
      <c r="M6" s="46">
        <f t="shared" si="3"/>
        <v>-12000</v>
      </c>
      <c r="N6" s="85">
        <f>G6*(1+H6*2)</f>
        <v>72000</v>
      </c>
    </row>
    <row r="7" spans="1:51" x14ac:dyDescent="0.25">
      <c r="D7" s="34"/>
      <c r="H7" s="35"/>
      <c r="K7" s="87">
        <f t="shared" si="1"/>
        <v>0</v>
      </c>
      <c r="L7" s="46">
        <f t="shared" si="2"/>
        <v>0</v>
      </c>
      <c r="M7" s="46">
        <f t="shared" si="3"/>
        <v>0</v>
      </c>
      <c r="N7" s="85"/>
    </row>
    <row r="8" spans="1:51" x14ac:dyDescent="0.25">
      <c r="A8" s="37">
        <v>4</v>
      </c>
      <c r="B8" t="s">
        <v>34</v>
      </c>
      <c r="D8" s="34">
        <v>779142768</v>
      </c>
      <c r="E8" s="20">
        <v>45859</v>
      </c>
      <c r="F8" s="20">
        <f>E8+60</f>
        <v>45919</v>
      </c>
      <c r="G8" s="5">
        <v>20000</v>
      </c>
      <c r="H8" s="35">
        <v>0.1</v>
      </c>
      <c r="I8" s="5">
        <v>400</v>
      </c>
      <c r="J8">
        <f>N8/I8</f>
        <v>60</v>
      </c>
      <c r="K8" s="87">
        <f t="shared" si="1"/>
        <v>24000</v>
      </c>
      <c r="L8" s="46">
        <f t="shared" si="2"/>
        <v>4000</v>
      </c>
      <c r="M8" s="46">
        <f t="shared" si="3"/>
        <v>-4000</v>
      </c>
      <c r="N8" s="85">
        <f>G8*(1+H8*2)</f>
        <v>24000</v>
      </c>
    </row>
    <row r="9" spans="1:51" x14ac:dyDescent="0.25">
      <c r="D9" s="34"/>
      <c r="H9" s="35"/>
      <c r="K9" s="87">
        <f t="shared" si="1"/>
        <v>0</v>
      </c>
      <c r="L9" s="46">
        <f t="shared" si="2"/>
        <v>0</v>
      </c>
      <c r="M9" s="46">
        <f t="shared" si="3"/>
        <v>0</v>
      </c>
      <c r="N9" s="85"/>
    </row>
    <row r="10" spans="1:51" x14ac:dyDescent="0.25">
      <c r="A10" s="37">
        <v>5</v>
      </c>
      <c r="B10" t="s">
        <v>36</v>
      </c>
      <c r="D10" s="34">
        <v>770518864</v>
      </c>
      <c r="E10" s="20">
        <v>45859</v>
      </c>
      <c r="F10" s="20">
        <f>E10+60</f>
        <v>45919</v>
      </c>
      <c r="G10" s="5">
        <v>25000</v>
      </c>
      <c r="H10" s="35">
        <v>0.1</v>
      </c>
      <c r="I10" s="5">
        <v>500</v>
      </c>
      <c r="J10">
        <f>N10/I10</f>
        <v>60</v>
      </c>
      <c r="K10" s="87">
        <f t="shared" si="1"/>
        <v>30000</v>
      </c>
      <c r="L10" s="46">
        <f t="shared" si="2"/>
        <v>5000</v>
      </c>
      <c r="M10" s="46">
        <f t="shared" si="3"/>
        <v>-5000</v>
      </c>
      <c r="N10" s="85">
        <f>G10*(1+H10*2)</f>
        <v>30000</v>
      </c>
    </row>
    <row r="11" spans="1:51" x14ac:dyDescent="0.25">
      <c r="D11" s="34"/>
      <c r="H11" s="35"/>
      <c r="K11" s="87">
        <f t="shared" si="1"/>
        <v>0</v>
      </c>
      <c r="L11" s="46">
        <f t="shared" si="2"/>
        <v>0</v>
      </c>
      <c r="M11" s="46">
        <f t="shared" si="3"/>
        <v>0</v>
      </c>
      <c r="N11" s="85"/>
    </row>
    <row r="12" spans="1:51" x14ac:dyDescent="0.25">
      <c r="A12" s="37">
        <v>6</v>
      </c>
      <c r="B12" t="s">
        <v>38</v>
      </c>
      <c r="D12" s="34">
        <v>772196918</v>
      </c>
      <c r="E12" s="20">
        <v>45860</v>
      </c>
      <c r="F12" s="20">
        <f>E12+60</f>
        <v>45920</v>
      </c>
      <c r="G12" s="5">
        <v>30000</v>
      </c>
      <c r="H12" s="35">
        <v>0.1</v>
      </c>
      <c r="I12" s="5">
        <v>600</v>
      </c>
      <c r="J12">
        <f>N12/I12</f>
        <v>60</v>
      </c>
      <c r="K12" s="87">
        <f t="shared" si="1"/>
        <v>36000</v>
      </c>
      <c r="L12" s="46">
        <f t="shared" si="2"/>
        <v>6000</v>
      </c>
      <c r="M12" s="46">
        <f t="shared" si="3"/>
        <v>-6000</v>
      </c>
      <c r="N12" s="85">
        <f>G12*(1+H12*2)</f>
        <v>36000</v>
      </c>
    </row>
    <row r="13" spans="1:51" x14ac:dyDescent="0.25">
      <c r="D13" s="34"/>
      <c r="H13" s="35"/>
      <c r="K13" s="87">
        <f t="shared" si="1"/>
        <v>0</v>
      </c>
      <c r="L13" s="46">
        <f t="shared" si="2"/>
        <v>0</v>
      </c>
      <c r="M13" s="46">
        <f t="shared" si="3"/>
        <v>0</v>
      </c>
      <c r="N13" s="85"/>
    </row>
  </sheetData>
  <conditionalFormatting sqref="B1:M1 N1:N13">
    <cfRule type="expression" dxfId="10" priority="34">
      <formula>MOD(COLUMN(),2)=0</formula>
    </cfRule>
  </conditionalFormatting>
  <pageMargins left="0.7" right="0.7" top="0.75" bottom="0.75" header="0.3" footer="0.3"/>
  <pageSetup orientation="portrait" horizontalDpi="300" verticalDpi="0" copies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11FD206-EEA0-46FF-B949-254D2496D6EE}">
            <xm:f>NOT(ISERROR(SEARCH("-",M1)))</xm:f>
            <xm:f>"-"</xm:f>
            <x14:dxf>
              <font>
                <color theme="1"/>
              </font>
            </x14:dxf>
          </x14:cfRule>
          <x14:cfRule type="containsText" priority="2" operator="containsText" id="{36268C53-F5E7-4836-8F6D-7DC77C074292}">
            <xm:f>NOT(ISERROR(SEARCH("-",M1)))</xm:f>
            <xm:f>"-"</xm:f>
            <x14:dxf>
              <fill>
                <patternFill>
                  <bgColor rgb="FFFF99CC"/>
                </patternFill>
              </fill>
            </x14:dxf>
          </x14:cfRule>
          <x14:cfRule type="containsText" priority="3" operator="containsText" id="{3E931F24-6999-4D74-A583-11A83B3EDD38}">
            <xm:f>NOT(ISERROR(SEARCH("-",M1)))</xm:f>
            <xm:f>"-"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" operator="containsText" id="{5549100B-9000-4C51-A1FA-8584723FDC37}">
            <xm:f>NOT(ISERROR(SEARCH("-",M1)))</xm:f>
            <xm:f>"-"</xm:f>
            <x14:dxf>
              <font>
                <color rgb="FF00B050"/>
              </font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4" operator="containsText" id="{4AFD499F-FED6-4DCB-9D6B-C105DA8A671B}">
            <xm:f>NOT(ISERROR(SEARCH("-",L1)))</xm:f>
            <xm:f>"-"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C9F3623B-4813-4609-A915-F8DBE5BF8A5A}">
            <xm:f>NOT(ISERROR(SEARCH("+",L1)))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L1:L1048576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Y12"/>
  <sheetViews>
    <sheetView zoomScaleNormal="100" workbookViewId="0">
      <pane xSplit="8" ySplit="7" topLeftCell="I8" activePane="bottomRight" state="frozen"/>
      <selection pane="topRight" activeCell="H1" sqref="H1"/>
      <selection pane="bottomLeft" activeCell="A13" sqref="A13"/>
      <selection pane="bottomRight" activeCell="A8" sqref="A8:XFD172"/>
    </sheetView>
  </sheetViews>
  <sheetFormatPr defaultRowHeight="15" x14ac:dyDescent="0.25"/>
  <cols>
    <col min="1" max="1" width="6.42578125" style="37" customWidth="1"/>
    <col min="2" max="2" width="13.140625" customWidth="1"/>
    <col min="3" max="3" width="7.85546875" customWidth="1"/>
    <col min="4" max="4" width="6" customWidth="1"/>
    <col min="5" max="5" width="4.42578125" customWidth="1"/>
    <col min="6" max="6" width="11.85546875" style="20" customWidth="1"/>
    <col min="7" max="7" width="9.85546875" style="20" customWidth="1"/>
    <col min="8" max="8" width="13.85546875" style="5" bestFit="1" customWidth="1"/>
    <col min="9" max="9" width="12.42578125" customWidth="1"/>
    <col min="10" max="10" width="11.140625" style="5" customWidth="1"/>
    <col min="11" max="11" width="11" customWidth="1"/>
    <col min="12" max="12" width="13" style="21" customWidth="1"/>
    <col min="13" max="13" width="12.85546875" customWidth="1"/>
    <col min="14" max="14" width="14.5703125" bestFit="1" customWidth="1"/>
    <col min="15" max="15" width="14.7109375" style="5" bestFit="1" customWidth="1"/>
    <col min="19" max="19" width="13.28515625" customWidth="1"/>
    <col min="20" max="20" width="11.28515625" customWidth="1"/>
    <col min="38" max="38" width="11.28515625" customWidth="1"/>
    <col min="49" max="49" width="13.42578125" customWidth="1"/>
    <col min="51" max="51" width="12.42578125" customWidth="1"/>
    <col min="76" max="76" width="9.140625" customWidth="1"/>
  </cols>
  <sheetData>
    <row r="1" spans="1:51" ht="30" x14ac:dyDescent="0.25">
      <c r="A1" s="37" t="s">
        <v>93</v>
      </c>
      <c r="B1" t="s">
        <v>11</v>
      </c>
      <c r="C1" t="s">
        <v>77</v>
      </c>
      <c r="E1" s="22" t="s">
        <v>12</v>
      </c>
      <c r="F1" s="23" t="s">
        <v>13</v>
      </c>
      <c r="G1" s="23" t="s">
        <v>16</v>
      </c>
      <c r="H1" s="27" t="s">
        <v>17</v>
      </c>
      <c r="I1" s="22" t="s">
        <v>26</v>
      </c>
      <c r="J1" s="36" t="s">
        <v>30</v>
      </c>
      <c r="K1" s="24" t="s">
        <v>44</v>
      </c>
      <c r="L1" s="54" t="s">
        <v>94</v>
      </c>
      <c r="M1" s="31" t="s">
        <v>28</v>
      </c>
      <c r="N1" s="31" t="s">
        <v>29</v>
      </c>
      <c r="O1" s="30" t="s">
        <v>27</v>
      </c>
    </row>
    <row r="2" spans="1:51" s="40" customFormat="1" x14ac:dyDescent="0.25">
      <c r="A2" s="39">
        <v>1</v>
      </c>
      <c r="B2" s="40" t="s">
        <v>42</v>
      </c>
      <c r="C2" s="40" t="s">
        <v>46</v>
      </c>
      <c r="E2" s="41">
        <v>767850049</v>
      </c>
      <c r="F2" s="42">
        <v>45856</v>
      </c>
      <c r="G2" s="42">
        <f>F2+60</f>
        <v>45916</v>
      </c>
      <c r="H2" s="43">
        <v>20000</v>
      </c>
      <c r="I2" s="44">
        <v>0.1</v>
      </c>
      <c r="J2" s="43">
        <f>(H2+H2*0.2)/8</f>
        <v>3000</v>
      </c>
      <c r="K2" s="40">
        <v>8</v>
      </c>
      <c r="L2" s="88">
        <f>J2*K2</f>
        <v>24000</v>
      </c>
      <c r="M2" s="89">
        <f>L2-H2</f>
        <v>4000</v>
      </c>
      <c r="N2" s="89">
        <f>H2-L2</f>
        <v>-4000</v>
      </c>
      <c r="O2" s="45">
        <f>H2*(1+I2*2)</f>
        <v>24000</v>
      </c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</row>
    <row r="3" spans="1:51" x14ac:dyDescent="0.25">
      <c r="E3" s="34"/>
      <c r="I3" s="35"/>
      <c r="J3" s="43">
        <f t="shared" ref="J3:J7" si="0">(H3+H3*0.2)/8</f>
        <v>0</v>
      </c>
      <c r="K3" s="40"/>
      <c r="L3" s="88">
        <f t="shared" ref="L3:L7" si="1">J3*K3</f>
        <v>0</v>
      </c>
      <c r="M3" s="89">
        <f t="shared" ref="M3:M7" si="2">L3-H3</f>
        <v>0</v>
      </c>
      <c r="N3" s="89">
        <f t="shared" ref="N3:N7" si="3">H3-L3</f>
        <v>0</v>
      </c>
      <c r="O3" s="3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</row>
    <row r="4" spans="1:51" x14ac:dyDescent="0.25">
      <c r="A4" s="37">
        <v>2</v>
      </c>
      <c r="B4" t="s">
        <v>31</v>
      </c>
      <c r="C4" s="40" t="s">
        <v>46</v>
      </c>
      <c r="E4" s="34">
        <v>783891636</v>
      </c>
      <c r="F4" s="20">
        <v>45856</v>
      </c>
      <c r="H4" s="5">
        <v>20000</v>
      </c>
      <c r="I4" s="35">
        <v>0.1</v>
      </c>
      <c r="J4" s="43">
        <f t="shared" si="0"/>
        <v>3000</v>
      </c>
      <c r="K4" s="40">
        <v>8</v>
      </c>
      <c r="L4" s="88">
        <f t="shared" si="1"/>
        <v>24000</v>
      </c>
      <c r="M4" s="89">
        <f t="shared" si="2"/>
        <v>4000</v>
      </c>
      <c r="N4" s="89">
        <f t="shared" si="3"/>
        <v>-4000</v>
      </c>
      <c r="O4" s="30">
        <f>H4*(1+I4*2)</f>
        <v>24000</v>
      </c>
    </row>
    <row r="5" spans="1:51" x14ac:dyDescent="0.25">
      <c r="E5" s="34"/>
      <c r="I5" s="35"/>
      <c r="J5" s="43">
        <f t="shared" si="0"/>
        <v>0</v>
      </c>
      <c r="K5" s="40"/>
      <c r="L5" s="88">
        <f t="shared" si="1"/>
        <v>0</v>
      </c>
      <c r="M5" s="89">
        <f t="shared" si="2"/>
        <v>0</v>
      </c>
      <c r="N5" s="89">
        <f t="shared" si="3"/>
        <v>0</v>
      </c>
      <c r="O5" s="30"/>
    </row>
    <row r="6" spans="1:51" x14ac:dyDescent="0.25">
      <c r="A6" s="37">
        <v>3</v>
      </c>
      <c r="B6" t="s">
        <v>35</v>
      </c>
      <c r="C6" t="s">
        <v>45</v>
      </c>
      <c r="E6" s="38">
        <v>762396051</v>
      </c>
      <c r="F6" s="20">
        <v>45859</v>
      </c>
      <c r="H6" s="5">
        <v>5000</v>
      </c>
      <c r="I6" s="35"/>
      <c r="J6" s="43">
        <f t="shared" si="0"/>
        <v>750</v>
      </c>
      <c r="K6" s="40">
        <v>8</v>
      </c>
      <c r="L6" s="88">
        <f t="shared" si="1"/>
        <v>6000</v>
      </c>
      <c r="M6" s="89">
        <f t="shared" si="2"/>
        <v>1000</v>
      </c>
      <c r="N6" s="89">
        <f t="shared" si="3"/>
        <v>-1000</v>
      </c>
      <c r="O6" s="30"/>
    </row>
    <row r="7" spans="1:51" x14ac:dyDescent="0.25">
      <c r="E7" s="34"/>
      <c r="I7" s="35"/>
      <c r="J7" s="43">
        <f t="shared" si="0"/>
        <v>0</v>
      </c>
      <c r="K7" s="40"/>
      <c r="L7" s="88">
        <f t="shared" si="1"/>
        <v>0</v>
      </c>
      <c r="M7" s="89">
        <f t="shared" si="2"/>
        <v>0</v>
      </c>
      <c r="N7" s="89">
        <f t="shared" si="3"/>
        <v>0</v>
      </c>
      <c r="O7" s="30"/>
    </row>
    <row r="8" spans="1:51" x14ac:dyDescent="0.25">
      <c r="J8" s="43">
        <f t="shared" ref="J8:J12" si="4">(H8+H8*0.2)/8</f>
        <v>0</v>
      </c>
      <c r="L8" s="88">
        <f t="shared" ref="L8:L12" si="5">J8*K8</f>
        <v>0</v>
      </c>
      <c r="M8" s="89">
        <f t="shared" ref="M8:M12" si="6">L8-H8</f>
        <v>0</v>
      </c>
      <c r="N8" s="89">
        <f t="shared" ref="N8:N12" si="7">H8-L8</f>
        <v>0</v>
      </c>
    </row>
    <row r="9" spans="1:51" x14ac:dyDescent="0.25">
      <c r="J9" s="43">
        <f t="shared" si="4"/>
        <v>0</v>
      </c>
      <c r="L9" s="88">
        <f t="shared" si="5"/>
        <v>0</v>
      </c>
      <c r="M9" s="89">
        <f t="shared" si="6"/>
        <v>0</v>
      </c>
      <c r="N9" s="89">
        <f t="shared" si="7"/>
        <v>0</v>
      </c>
    </row>
    <row r="10" spans="1:51" x14ac:dyDescent="0.25">
      <c r="J10" s="43">
        <f t="shared" si="4"/>
        <v>0</v>
      </c>
      <c r="L10" s="88">
        <f t="shared" si="5"/>
        <v>0</v>
      </c>
      <c r="M10" s="89">
        <f t="shared" si="6"/>
        <v>0</v>
      </c>
      <c r="N10" s="89">
        <f t="shared" si="7"/>
        <v>0</v>
      </c>
    </row>
    <row r="11" spans="1:51" x14ac:dyDescent="0.25">
      <c r="J11" s="43">
        <f t="shared" si="4"/>
        <v>0</v>
      </c>
      <c r="L11" s="88">
        <f t="shared" si="5"/>
        <v>0</v>
      </c>
      <c r="M11" s="89">
        <f t="shared" si="6"/>
        <v>0</v>
      </c>
      <c r="N11" s="89">
        <f t="shared" si="7"/>
        <v>0</v>
      </c>
    </row>
    <row r="12" spans="1:51" x14ac:dyDescent="0.25">
      <c r="J12" s="43">
        <f t="shared" si="4"/>
        <v>0</v>
      </c>
      <c r="L12" s="88">
        <f t="shared" si="5"/>
        <v>0</v>
      </c>
      <c r="M12" s="89">
        <f t="shared" si="6"/>
        <v>0</v>
      </c>
      <c r="N12" s="89">
        <f t="shared" si="7"/>
        <v>0</v>
      </c>
    </row>
  </sheetData>
  <conditionalFormatting sqref="O1:O7 B1:N1">
    <cfRule type="expression" dxfId="3" priority="3">
      <formula>MOD(COLUMN(),2)=0</formula>
    </cfRule>
  </conditionalFormatting>
  <conditionalFormatting sqref="N1:N1048576">
    <cfRule type="cellIs" dxfId="2" priority="1" operator="greaterThan">
      <formula>0</formula>
    </cfRule>
  </conditionalFormatting>
  <pageMargins left="0.7" right="0.7" top="0.75" bottom="0.75" header="0.3" footer="0.3"/>
  <pageSetup orientation="portrait" horizontalDpi="300" verticalDpi="0" copies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8F93F12-D0E5-4EEA-A29D-D85CAEDC04CD}">
            <xm:f>NOT(ISERROR(SEARCH("-",M1)))</xm:f>
            <xm:f>"-"</xm:f>
            <x14:dxf>
              <fill>
                <patternFill>
                  <bgColor theme="3" tint="0.39994506668294322"/>
                </patternFill>
              </fill>
            </x14:dxf>
          </x14:cfRule>
          <xm:sqref>M1:M1048576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O6"/>
  <sheetViews>
    <sheetView workbookViewId="0">
      <pane xSplit="9" ySplit="6" topLeftCell="N7" activePane="bottomRight" state="frozen"/>
      <selection pane="topRight" activeCell="J1" sqref="J1"/>
      <selection pane="bottomLeft" activeCell="A14" sqref="A14"/>
      <selection pane="bottomRight" activeCell="A7" sqref="A7:XFD69"/>
    </sheetView>
  </sheetViews>
  <sheetFormatPr defaultRowHeight="15" x14ac:dyDescent="0.25"/>
  <cols>
    <col min="1" max="1" width="10.7109375" style="3" bestFit="1" customWidth="1"/>
    <col min="3" max="3" width="9.5703125" style="21" bestFit="1" customWidth="1"/>
    <col min="4" max="4" width="9.140625" style="3"/>
    <col min="5" max="5" width="10.5703125" style="130" bestFit="1" customWidth="1"/>
    <col min="6" max="6" width="9.5703125" style="130" bestFit="1" customWidth="1"/>
    <col min="7" max="7" width="14.28515625" style="131" customWidth="1"/>
    <col min="8" max="8" width="11.5703125" style="130" customWidth="1"/>
    <col min="9" max="9" width="9.5703125" style="21" bestFit="1" customWidth="1"/>
    <col min="10" max="10" width="12.5703125" style="21" customWidth="1"/>
    <col min="11" max="11" width="16.28515625" style="21" customWidth="1"/>
    <col min="12" max="12" width="11.5703125" bestFit="1" customWidth="1"/>
    <col min="15" max="15" width="10.5703125" bestFit="1" customWidth="1"/>
    <col min="16" max="16" width="12.85546875" customWidth="1"/>
    <col min="17" max="18" width="10.5703125" bestFit="1" customWidth="1"/>
  </cols>
  <sheetData>
    <row r="1" spans="1:15" x14ac:dyDescent="0.25">
      <c r="A1" s="3" t="s">
        <v>0</v>
      </c>
      <c r="B1" t="s">
        <v>107</v>
      </c>
      <c r="D1" s="3" t="s">
        <v>0</v>
      </c>
      <c r="E1" s="130" t="s">
        <v>108</v>
      </c>
      <c r="O1" t="s">
        <v>115</v>
      </c>
    </row>
    <row r="2" spans="1:15" x14ac:dyDescent="0.25">
      <c r="E2" s="130" t="s">
        <v>75</v>
      </c>
      <c r="F2" s="130" t="s">
        <v>109</v>
      </c>
      <c r="G2" s="131" t="s">
        <v>110</v>
      </c>
      <c r="H2" s="130" t="s">
        <v>111</v>
      </c>
      <c r="I2" s="129" t="s">
        <v>113</v>
      </c>
      <c r="J2" s="129" t="s">
        <v>112</v>
      </c>
      <c r="K2" s="129" t="s">
        <v>76</v>
      </c>
      <c r="L2" s="129" t="s">
        <v>3</v>
      </c>
      <c r="N2" s="129" t="s">
        <v>129</v>
      </c>
      <c r="O2" s="46">
        <f>SUM(E:E)</f>
        <v>4500</v>
      </c>
    </row>
    <row r="3" spans="1:15" x14ac:dyDescent="0.25">
      <c r="B3" t="s">
        <v>105</v>
      </c>
      <c r="E3" s="130">
        <v>1000</v>
      </c>
      <c r="F3" s="130">
        <v>1000</v>
      </c>
      <c r="G3" s="130">
        <v>900</v>
      </c>
      <c r="H3" s="130">
        <v>520</v>
      </c>
      <c r="I3" s="21">
        <v>400</v>
      </c>
      <c r="J3" s="21">
        <v>5500</v>
      </c>
      <c r="K3" s="21">
        <v>715</v>
      </c>
      <c r="L3" s="21">
        <v>1000</v>
      </c>
      <c r="N3" t="s">
        <v>82</v>
      </c>
      <c r="O3" s="46">
        <f>SUM(F:F)</f>
        <v>5180</v>
      </c>
    </row>
    <row r="4" spans="1:15" x14ac:dyDescent="0.25">
      <c r="B4" t="s">
        <v>106</v>
      </c>
      <c r="C4" s="21">
        <v>500</v>
      </c>
      <c r="E4" s="130">
        <v>1000</v>
      </c>
      <c r="F4" s="130">
        <v>360</v>
      </c>
      <c r="G4" s="130">
        <v>625</v>
      </c>
      <c r="H4" s="130">
        <v>200</v>
      </c>
      <c r="I4" s="21">
        <v>400</v>
      </c>
      <c r="J4" s="21">
        <v>4000</v>
      </c>
      <c r="K4" s="21">
        <v>1660</v>
      </c>
      <c r="L4" s="21">
        <v>500</v>
      </c>
      <c r="N4" t="s">
        <v>84</v>
      </c>
      <c r="O4">
        <f>SUM(G:G)</f>
        <v>3525</v>
      </c>
    </row>
    <row r="5" spans="1:15" x14ac:dyDescent="0.25">
      <c r="E5" s="130">
        <v>500</v>
      </c>
      <c r="F5" s="130">
        <v>2220</v>
      </c>
      <c r="G5" s="131">
        <v>1250</v>
      </c>
      <c r="H5" s="130">
        <v>640</v>
      </c>
      <c r="I5" s="21">
        <v>480</v>
      </c>
      <c r="J5" s="21">
        <v>6320</v>
      </c>
      <c r="K5" s="21">
        <v>4580</v>
      </c>
      <c r="L5" s="21">
        <v>5000</v>
      </c>
      <c r="N5" t="s">
        <v>130</v>
      </c>
      <c r="O5" s="46">
        <f>SUM(H:H)</f>
        <v>2185</v>
      </c>
    </row>
    <row r="6" spans="1:15" x14ac:dyDescent="0.25">
      <c r="E6" s="130">
        <v>2000</v>
      </c>
      <c r="F6" s="130">
        <v>1600</v>
      </c>
      <c r="G6" s="131">
        <v>750</v>
      </c>
      <c r="H6" s="130">
        <v>825</v>
      </c>
      <c r="I6" s="21">
        <v>1050</v>
      </c>
      <c r="J6" s="21">
        <v>3500</v>
      </c>
      <c r="K6" s="21">
        <v>4300</v>
      </c>
      <c r="L6" s="21">
        <v>5000</v>
      </c>
      <c r="N6" t="s">
        <v>130</v>
      </c>
      <c r="O6" s="46">
        <f>SUM(I:I)</f>
        <v>2330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F2"/>
  <sheetViews>
    <sheetView workbookViewId="0">
      <selection activeCell="A3" sqref="A3:XFD7"/>
    </sheetView>
  </sheetViews>
  <sheetFormatPr defaultRowHeight="15" x14ac:dyDescent="0.25"/>
  <cols>
    <col min="1" max="1" width="10.7109375" style="3" bestFit="1" customWidth="1"/>
  </cols>
  <sheetData>
    <row r="1" spans="1:6" x14ac:dyDescent="0.25">
      <c r="A1" s="3" t="s">
        <v>0</v>
      </c>
      <c r="B1" t="s">
        <v>1</v>
      </c>
      <c r="C1" t="s">
        <v>3</v>
      </c>
      <c r="D1" t="s">
        <v>2</v>
      </c>
      <c r="F1" t="s">
        <v>117</v>
      </c>
    </row>
    <row r="2" spans="1:6" x14ac:dyDescent="0.25">
      <c r="B2">
        <v>62000</v>
      </c>
      <c r="C2">
        <v>62000</v>
      </c>
      <c r="D2">
        <v>62000</v>
      </c>
      <c r="E2" t="s">
        <v>131</v>
      </c>
      <c r="F2">
        <f>SUM(B:B)</f>
        <v>62000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A5" sqref="A5:XFD20"/>
    </sheetView>
  </sheetViews>
  <sheetFormatPr defaultRowHeight="15" x14ac:dyDescent="0.25"/>
  <cols>
    <col min="2" max="2" width="13.85546875" customWidth="1"/>
    <col min="3" max="3" width="9.140625" customWidth="1"/>
    <col min="4" max="4" width="10.5703125" customWidth="1"/>
    <col min="5" max="5" width="9.140625" style="74"/>
    <col min="6" max="7" width="10.7109375" customWidth="1"/>
    <col min="8" max="9" width="11.5703125" bestFit="1" customWidth="1"/>
  </cols>
  <sheetData>
    <row r="1" spans="1:9" x14ac:dyDescent="0.25">
      <c r="A1" t="s">
        <v>86</v>
      </c>
      <c r="B1" t="s">
        <v>0</v>
      </c>
      <c r="H1" t="s">
        <v>87</v>
      </c>
      <c r="I1" t="s">
        <v>89</v>
      </c>
    </row>
    <row r="2" spans="1:9" x14ac:dyDescent="0.25">
      <c r="B2" s="20">
        <v>45901</v>
      </c>
      <c r="F2" s="20">
        <v>45901</v>
      </c>
      <c r="H2" s="21"/>
    </row>
    <row r="3" spans="1:9" x14ac:dyDescent="0.25">
      <c r="B3" s="20">
        <v>45902</v>
      </c>
      <c r="F3" s="20">
        <v>45902</v>
      </c>
      <c r="G3" s="20"/>
    </row>
    <row r="4" spans="1:9" x14ac:dyDescent="0.25">
      <c r="B4" s="20">
        <v>45903</v>
      </c>
      <c r="F4" s="20">
        <v>45903</v>
      </c>
      <c r="G4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zoomScale="98" zoomScaleNormal="98" workbookViewId="0">
      <pane ySplit="1" topLeftCell="A6" activePane="bottomLeft" state="frozen"/>
      <selection pane="bottomLeft" activeCell="A17" sqref="A17:XFD278"/>
    </sheetView>
  </sheetViews>
  <sheetFormatPr defaultRowHeight="15" x14ac:dyDescent="0.25"/>
  <cols>
    <col min="1" max="1" width="9.140625" style="22"/>
    <col min="2" max="2" width="16.140625" style="49" customWidth="1"/>
    <col min="3" max="3" width="13" style="49" customWidth="1"/>
    <col min="4" max="4" width="18.28515625" style="49" customWidth="1"/>
    <col min="5" max="5" width="12.5703125" style="28" customWidth="1"/>
    <col min="6" max="6" width="12.140625" style="28" customWidth="1"/>
    <col min="7" max="7" width="15.140625" style="28" customWidth="1"/>
    <col min="8" max="9" width="11.28515625" style="28" customWidth="1"/>
    <col min="10" max="12" width="11.85546875" style="28" customWidth="1"/>
    <col min="13" max="13" width="13.85546875" style="22" customWidth="1"/>
    <col min="14" max="14" width="12.140625" style="22" customWidth="1"/>
    <col min="15" max="15" width="9.140625" style="22"/>
    <col min="16" max="16" width="2.140625" style="59" customWidth="1"/>
    <col min="17" max="17" width="10.7109375" style="53" customWidth="1"/>
    <col min="18" max="19" width="12.42578125" style="32" customWidth="1"/>
    <col min="20" max="20" width="11.5703125" style="54" bestFit="1" customWidth="1"/>
    <col min="21" max="21" width="11.5703125" style="65" bestFit="1" customWidth="1"/>
    <col min="22" max="22" width="11.85546875" style="66" customWidth="1"/>
    <col min="23" max="25" width="11" style="54" customWidth="1"/>
    <col min="26" max="26" width="13.140625" style="54" customWidth="1"/>
    <col min="27" max="27" width="13.42578125" style="66" customWidth="1"/>
    <col min="28" max="28" width="13.85546875" style="67" customWidth="1"/>
    <col min="29" max="29" width="17.42578125" style="28" customWidth="1"/>
    <col min="30" max="16384" width="9.140625" style="22"/>
  </cols>
  <sheetData>
    <row r="1" spans="1:30" ht="25.5" x14ac:dyDescent="0.25">
      <c r="A1" s="55" t="s">
        <v>0</v>
      </c>
      <c r="B1" s="56" t="s">
        <v>1</v>
      </c>
      <c r="C1" s="56" t="s">
        <v>2</v>
      </c>
      <c r="D1" s="56" t="s">
        <v>3</v>
      </c>
      <c r="E1" s="57" t="s">
        <v>8</v>
      </c>
      <c r="F1" s="57" t="s">
        <v>85</v>
      </c>
      <c r="G1" s="57"/>
      <c r="H1" s="57" t="s">
        <v>70</v>
      </c>
      <c r="I1" s="57" t="s">
        <v>78</v>
      </c>
      <c r="J1" s="57" t="s">
        <v>71</v>
      </c>
      <c r="K1" s="57" t="s">
        <v>88</v>
      </c>
      <c r="L1" s="57" t="s">
        <v>76</v>
      </c>
      <c r="M1" s="55" t="s">
        <v>72</v>
      </c>
      <c r="N1" s="58" t="s">
        <v>6</v>
      </c>
      <c r="O1" s="55" t="s">
        <v>0</v>
      </c>
      <c r="Q1" s="53" t="s">
        <v>10</v>
      </c>
      <c r="R1" s="60" t="s">
        <v>25</v>
      </c>
      <c r="S1" s="60" t="s">
        <v>68</v>
      </c>
      <c r="T1" s="75" t="s">
        <v>73</v>
      </c>
      <c r="U1" s="76" t="s">
        <v>74</v>
      </c>
      <c r="V1" s="76" t="s">
        <v>88</v>
      </c>
      <c r="W1" s="62" t="s">
        <v>75</v>
      </c>
      <c r="X1" s="62" t="s">
        <v>1</v>
      </c>
      <c r="Y1" s="62" t="s">
        <v>2</v>
      </c>
      <c r="Z1" s="62" t="s">
        <v>3</v>
      </c>
      <c r="AA1" s="61" t="s">
        <v>76</v>
      </c>
      <c r="AB1" s="63" t="s">
        <v>7</v>
      </c>
      <c r="AC1" s="64" t="s">
        <v>9</v>
      </c>
    </row>
    <row r="2" spans="1:30" s="73" customFormat="1" x14ac:dyDescent="0.25">
      <c r="A2" s="68">
        <v>45856</v>
      </c>
      <c r="B2" s="69">
        <v>200000</v>
      </c>
      <c r="C2" s="69">
        <v>0</v>
      </c>
      <c r="D2" s="69">
        <v>0</v>
      </c>
      <c r="E2" s="70"/>
      <c r="F2" s="70"/>
      <c r="G2" s="70"/>
      <c r="H2" s="70"/>
      <c r="I2" s="70"/>
      <c r="J2" s="70"/>
      <c r="K2" s="70"/>
      <c r="L2" s="70"/>
      <c r="M2" s="71">
        <f>+L2+B2+C2+D2+E2+F2+G2+H2</f>
        <v>200000</v>
      </c>
      <c r="N2" s="71">
        <f>M2</f>
        <v>200000</v>
      </c>
      <c r="O2" s="68">
        <v>45856</v>
      </c>
      <c r="P2" s="72"/>
      <c r="Q2" s="72"/>
      <c r="R2" s="69">
        <v>65000</v>
      </c>
      <c r="S2" s="69"/>
      <c r="T2" s="69">
        <v>50000</v>
      </c>
      <c r="U2" s="70"/>
      <c r="V2" s="70"/>
      <c r="W2" s="70"/>
      <c r="X2" s="70"/>
      <c r="Y2" s="70"/>
      <c r="Z2" s="70"/>
      <c r="AA2" s="70"/>
      <c r="AB2" s="69">
        <f>R2+T2+U2+V2+S2+W2+AA2</f>
        <v>115000</v>
      </c>
      <c r="AC2" s="69">
        <f>M2-AB2</f>
        <v>85000</v>
      </c>
    </row>
    <row r="3" spans="1:30" s="73" customFormat="1" x14ac:dyDescent="0.25">
      <c r="A3" s="68">
        <v>45857</v>
      </c>
      <c r="B3" s="69">
        <v>150000</v>
      </c>
      <c r="C3" s="69">
        <v>40000</v>
      </c>
      <c r="D3" s="69">
        <v>0</v>
      </c>
      <c r="E3" s="70"/>
      <c r="F3" s="70"/>
      <c r="G3" s="70"/>
      <c r="H3" s="70"/>
      <c r="I3" s="70"/>
      <c r="J3" s="70"/>
      <c r="K3" s="70"/>
      <c r="L3" s="70"/>
      <c r="M3" s="71">
        <f t="shared" ref="M3:M5" si="0">+L3+B3+C3+D3+E3+F3+G3+H3</f>
        <v>190000</v>
      </c>
      <c r="N3" s="71">
        <f>N2+M3</f>
        <v>390000</v>
      </c>
      <c r="O3" s="68">
        <v>45857</v>
      </c>
      <c r="P3" s="72"/>
      <c r="Q3" s="72"/>
      <c r="R3" s="69">
        <v>50000</v>
      </c>
      <c r="S3" s="69"/>
      <c r="T3" s="70"/>
      <c r="U3" s="70"/>
      <c r="V3" s="70"/>
      <c r="W3" s="70"/>
      <c r="X3" s="70"/>
      <c r="Y3" s="70"/>
      <c r="Z3" s="70"/>
      <c r="AA3" s="70"/>
      <c r="AB3" s="69">
        <f t="shared" ref="AB3:AB16" si="1">R3+T3+U3+V3+S3+W3+AA3</f>
        <v>50000</v>
      </c>
      <c r="AC3" s="69">
        <f t="shared" ref="AC3:AC15" si="2">AC2+M3-AB3</f>
        <v>225000</v>
      </c>
    </row>
    <row r="4" spans="1:30" s="73" customFormat="1" x14ac:dyDescent="0.25">
      <c r="A4" s="68">
        <v>45858</v>
      </c>
      <c r="B4" s="69">
        <v>0</v>
      </c>
      <c r="C4" s="69">
        <v>0</v>
      </c>
      <c r="D4" s="69">
        <v>0</v>
      </c>
      <c r="E4" s="70"/>
      <c r="F4" s="70"/>
      <c r="G4" s="70"/>
      <c r="H4" s="70"/>
      <c r="I4" s="70"/>
      <c r="J4" s="70"/>
      <c r="K4" s="70"/>
      <c r="L4" s="70"/>
      <c r="M4" s="71">
        <f t="shared" si="0"/>
        <v>0</v>
      </c>
      <c r="N4" s="71">
        <f t="shared" ref="N4:N15" si="3">N3+M4</f>
        <v>390000</v>
      </c>
      <c r="O4" s="68">
        <v>45858</v>
      </c>
      <c r="P4" s="72"/>
      <c r="Q4" s="72"/>
      <c r="R4" s="70"/>
      <c r="S4" s="70"/>
      <c r="T4" s="70"/>
      <c r="U4" s="70"/>
      <c r="V4" s="70"/>
      <c r="W4" s="70"/>
      <c r="X4" s="70"/>
      <c r="Y4" s="70"/>
      <c r="Z4" s="70"/>
      <c r="AA4" s="70"/>
      <c r="AB4" s="69">
        <f t="shared" si="1"/>
        <v>0</v>
      </c>
      <c r="AC4" s="69">
        <f t="shared" si="2"/>
        <v>225000</v>
      </c>
    </row>
    <row r="5" spans="1:30" s="73" customFormat="1" x14ac:dyDescent="0.25">
      <c r="A5" s="68">
        <v>45859</v>
      </c>
      <c r="B5" s="69">
        <v>0</v>
      </c>
      <c r="C5" s="69">
        <v>0</v>
      </c>
      <c r="D5" s="69">
        <v>0</v>
      </c>
      <c r="E5" s="70"/>
      <c r="F5" s="70"/>
      <c r="G5" s="70"/>
      <c r="H5" s="70"/>
      <c r="I5" s="70"/>
      <c r="J5" s="70"/>
      <c r="K5" s="70"/>
      <c r="L5" s="70"/>
      <c r="M5" s="71">
        <f t="shared" si="0"/>
        <v>0</v>
      </c>
      <c r="N5" s="71">
        <f t="shared" si="3"/>
        <v>390000</v>
      </c>
      <c r="O5" s="68">
        <v>45859</v>
      </c>
      <c r="P5" s="72"/>
      <c r="Q5" s="72"/>
      <c r="R5" s="69">
        <v>110000</v>
      </c>
      <c r="S5" s="69"/>
      <c r="T5" s="70"/>
      <c r="U5" s="70"/>
      <c r="V5" s="70"/>
      <c r="W5" s="70"/>
      <c r="X5" s="70"/>
      <c r="Y5" s="70"/>
      <c r="Z5" s="70"/>
      <c r="AA5" s="70"/>
      <c r="AB5" s="69">
        <f t="shared" si="1"/>
        <v>110000</v>
      </c>
      <c r="AC5" s="69">
        <f t="shared" si="2"/>
        <v>115000</v>
      </c>
    </row>
    <row r="6" spans="1:30" s="73" customFormat="1" x14ac:dyDescent="0.25">
      <c r="A6" s="68">
        <v>45860</v>
      </c>
      <c r="B6" s="69">
        <v>140000</v>
      </c>
      <c r="C6" s="69">
        <v>0</v>
      </c>
      <c r="D6" s="69">
        <v>0</v>
      </c>
      <c r="E6" s="70"/>
      <c r="F6" s="70"/>
      <c r="G6" s="70"/>
      <c r="H6" s="70"/>
      <c r="I6" s="70"/>
      <c r="J6" s="70"/>
      <c r="K6" s="70"/>
      <c r="L6" s="70"/>
      <c r="M6" s="71">
        <f>+L6+B6+C6+D6+E6+F6+G6+H6+I6</f>
        <v>140000</v>
      </c>
      <c r="N6" s="71">
        <f t="shared" si="3"/>
        <v>530000</v>
      </c>
      <c r="O6" s="68">
        <v>45860</v>
      </c>
      <c r="P6" s="72"/>
      <c r="Q6" s="72"/>
      <c r="R6" s="69">
        <v>50000</v>
      </c>
      <c r="S6" s="69"/>
      <c r="T6" s="70"/>
      <c r="U6" s="70"/>
      <c r="V6" s="70"/>
      <c r="W6" s="70"/>
      <c r="X6" s="70"/>
      <c r="Y6" s="70"/>
      <c r="Z6" s="70"/>
      <c r="AA6" s="70"/>
      <c r="AB6" s="69">
        <f t="shared" si="1"/>
        <v>50000</v>
      </c>
      <c r="AC6" s="69">
        <f t="shared" si="2"/>
        <v>205000</v>
      </c>
    </row>
    <row r="7" spans="1:30" s="73" customFormat="1" x14ac:dyDescent="0.25">
      <c r="A7" s="68">
        <v>45861</v>
      </c>
      <c r="B7" s="69">
        <v>0</v>
      </c>
      <c r="C7" s="69">
        <v>0</v>
      </c>
      <c r="D7" s="69">
        <v>0</v>
      </c>
      <c r="E7" s="70"/>
      <c r="F7" s="70"/>
      <c r="G7" s="70"/>
      <c r="H7" s="70"/>
      <c r="I7" s="70"/>
      <c r="J7" s="70"/>
      <c r="K7" s="70"/>
      <c r="L7" s="70"/>
      <c r="M7" s="71">
        <f t="shared" ref="M7:M11" si="4">+L7+B7+C7+D7+E7+F7+G7+H7+I7</f>
        <v>0</v>
      </c>
      <c r="N7" s="71">
        <f t="shared" si="3"/>
        <v>530000</v>
      </c>
      <c r="O7" s="68">
        <v>45861</v>
      </c>
      <c r="P7" s="72"/>
      <c r="Q7" s="72"/>
      <c r="R7" s="70"/>
      <c r="S7" s="70"/>
      <c r="T7" s="69">
        <v>15000</v>
      </c>
      <c r="U7" s="70"/>
      <c r="V7" s="70"/>
      <c r="W7" s="70"/>
      <c r="X7" s="70"/>
      <c r="Y7" s="70"/>
      <c r="Z7" s="70"/>
      <c r="AA7" s="70"/>
      <c r="AB7" s="69">
        <f t="shared" si="1"/>
        <v>15000</v>
      </c>
      <c r="AC7" s="69">
        <f t="shared" si="2"/>
        <v>190000</v>
      </c>
    </row>
    <row r="8" spans="1:30" s="73" customFormat="1" x14ac:dyDescent="0.25">
      <c r="A8" s="68">
        <v>45862</v>
      </c>
      <c r="B8" s="69">
        <v>0</v>
      </c>
      <c r="C8" s="69">
        <v>0</v>
      </c>
      <c r="D8" s="69">
        <v>0</v>
      </c>
      <c r="E8" s="70"/>
      <c r="F8" s="70"/>
      <c r="G8" s="70"/>
      <c r="H8" s="70"/>
      <c r="I8" s="70"/>
      <c r="J8" s="70"/>
      <c r="K8" s="70"/>
      <c r="L8" s="70"/>
      <c r="M8" s="71">
        <f t="shared" si="4"/>
        <v>0</v>
      </c>
      <c r="N8" s="71">
        <f t="shared" si="3"/>
        <v>530000</v>
      </c>
      <c r="O8" s="68">
        <v>45862</v>
      </c>
      <c r="P8" s="72"/>
      <c r="Q8" s="72"/>
      <c r="R8" s="69">
        <v>40000</v>
      </c>
      <c r="S8" s="69"/>
      <c r="T8" s="70"/>
      <c r="U8" s="70"/>
      <c r="V8" s="70"/>
      <c r="W8" s="70">
        <v>1000</v>
      </c>
      <c r="X8" s="70"/>
      <c r="Y8" s="70"/>
      <c r="Z8" s="70"/>
      <c r="AA8" s="70"/>
      <c r="AB8" s="69">
        <f t="shared" si="1"/>
        <v>41000</v>
      </c>
      <c r="AC8" s="69">
        <f t="shared" si="2"/>
        <v>149000</v>
      </c>
    </row>
    <row r="9" spans="1:30" s="73" customFormat="1" x14ac:dyDescent="0.25">
      <c r="A9" s="68">
        <v>45863</v>
      </c>
      <c r="B9" s="69">
        <v>170000</v>
      </c>
      <c r="C9" s="69">
        <v>0</v>
      </c>
      <c r="D9" s="69">
        <v>0</v>
      </c>
      <c r="E9" s="70"/>
      <c r="F9" s="70"/>
      <c r="G9" s="70"/>
      <c r="H9" s="70"/>
      <c r="I9" s="70"/>
      <c r="J9" s="70"/>
      <c r="K9" s="70"/>
      <c r="L9" s="70"/>
      <c r="M9" s="71">
        <f t="shared" si="4"/>
        <v>170000</v>
      </c>
      <c r="N9" s="71">
        <f t="shared" si="3"/>
        <v>700000</v>
      </c>
      <c r="O9" s="68">
        <v>45863</v>
      </c>
      <c r="P9" s="72"/>
      <c r="Q9" s="72"/>
      <c r="R9" s="69">
        <v>60000</v>
      </c>
      <c r="S9" s="69"/>
      <c r="T9" s="70"/>
      <c r="U9" s="70"/>
      <c r="V9" s="69">
        <v>73000</v>
      </c>
      <c r="W9" s="69">
        <v>1000</v>
      </c>
      <c r="X9" s="69"/>
      <c r="Y9" s="69"/>
      <c r="Z9" s="69"/>
      <c r="AA9" s="69"/>
      <c r="AB9" s="69">
        <f t="shared" si="1"/>
        <v>134000</v>
      </c>
      <c r="AC9" s="69">
        <f t="shared" si="2"/>
        <v>185000</v>
      </c>
    </row>
    <row r="10" spans="1:30" s="73" customFormat="1" x14ac:dyDescent="0.25">
      <c r="A10" s="68">
        <v>45864</v>
      </c>
      <c r="B10" s="69">
        <v>0</v>
      </c>
      <c r="C10" s="69">
        <v>0</v>
      </c>
      <c r="D10" s="69">
        <v>0</v>
      </c>
      <c r="E10" s="70"/>
      <c r="F10" s="70"/>
      <c r="G10" s="70"/>
      <c r="H10" s="70"/>
      <c r="I10" s="70"/>
      <c r="J10" s="70"/>
      <c r="K10" s="70"/>
      <c r="L10" s="70"/>
      <c r="M10" s="71">
        <f t="shared" si="4"/>
        <v>0</v>
      </c>
      <c r="N10" s="71">
        <f t="shared" si="3"/>
        <v>700000</v>
      </c>
      <c r="O10" s="68">
        <v>45864</v>
      </c>
      <c r="P10" s="72"/>
      <c r="Q10" s="72"/>
      <c r="R10" s="69">
        <v>20000</v>
      </c>
      <c r="S10" s="69"/>
      <c r="T10" s="70"/>
      <c r="U10" s="70"/>
      <c r="V10" s="70"/>
      <c r="W10" s="70"/>
      <c r="X10" s="70"/>
      <c r="Y10" s="70"/>
      <c r="Z10" s="70"/>
      <c r="AA10" s="70"/>
      <c r="AB10" s="69">
        <f t="shared" si="1"/>
        <v>20000</v>
      </c>
      <c r="AC10" s="69">
        <f t="shared" si="2"/>
        <v>165000</v>
      </c>
    </row>
    <row r="11" spans="1:30" s="73" customFormat="1" x14ac:dyDescent="0.25">
      <c r="A11" s="68">
        <v>45865</v>
      </c>
      <c r="B11" s="69">
        <v>0</v>
      </c>
      <c r="C11" s="69">
        <v>0</v>
      </c>
      <c r="D11" s="69">
        <v>0</v>
      </c>
      <c r="E11" s="70"/>
      <c r="F11" s="70"/>
      <c r="G11" s="70"/>
      <c r="H11" s="70"/>
      <c r="I11" s="70"/>
      <c r="J11" s="70"/>
      <c r="K11" s="70"/>
      <c r="L11" s="70"/>
      <c r="M11" s="71">
        <f t="shared" si="4"/>
        <v>0</v>
      </c>
      <c r="N11" s="71">
        <f t="shared" si="3"/>
        <v>700000</v>
      </c>
      <c r="O11" s="68">
        <v>45865</v>
      </c>
      <c r="P11" s="72"/>
      <c r="Q11" s="72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69">
        <f t="shared" si="1"/>
        <v>0</v>
      </c>
      <c r="AC11" s="69">
        <f t="shared" si="2"/>
        <v>165000</v>
      </c>
    </row>
    <row r="12" spans="1:30" s="73" customFormat="1" x14ac:dyDescent="0.25">
      <c r="A12" s="68">
        <v>45866</v>
      </c>
      <c r="B12" s="69">
        <v>0</v>
      </c>
      <c r="C12" s="69">
        <v>0</v>
      </c>
      <c r="D12" s="69">
        <v>0</v>
      </c>
      <c r="E12" s="69">
        <v>73000</v>
      </c>
      <c r="F12" s="69"/>
      <c r="G12" s="69"/>
      <c r="H12" s="69"/>
      <c r="I12" s="69"/>
      <c r="J12" s="69">
        <v>1250</v>
      </c>
      <c r="K12" s="69"/>
      <c r="L12" s="69"/>
      <c r="M12" s="71">
        <f>+L12+B12+C12+D12+E12+F12+G12+H12+I12+J12+K12</f>
        <v>74250</v>
      </c>
      <c r="N12" s="71">
        <f t="shared" si="3"/>
        <v>774250</v>
      </c>
      <c r="O12" s="68">
        <v>45866</v>
      </c>
      <c r="P12" s="72"/>
      <c r="Q12" s="72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69">
        <f t="shared" si="1"/>
        <v>0</v>
      </c>
      <c r="AC12" s="69">
        <f t="shared" si="2"/>
        <v>239250</v>
      </c>
    </row>
    <row r="13" spans="1:30" s="73" customFormat="1" x14ac:dyDescent="0.25">
      <c r="A13" s="68">
        <v>45867</v>
      </c>
      <c r="B13" s="69">
        <v>0</v>
      </c>
      <c r="C13" s="69">
        <v>0</v>
      </c>
      <c r="D13" s="69">
        <v>0</v>
      </c>
      <c r="E13" s="70"/>
      <c r="F13" s="70"/>
      <c r="G13" s="70"/>
      <c r="H13" s="70"/>
      <c r="I13" s="70"/>
      <c r="J13" s="70">
        <v>3000</v>
      </c>
      <c r="K13" s="70"/>
      <c r="L13" s="70"/>
      <c r="M13" s="71">
        <f t="shared" ref="M13:M15" si="5">+L13+B13+C13+D13+E13+F13+G13+H13+I13+J13+K13</f>
        <v>3000</v>
      </c>
      <c r="N13" s="71">
        <f t="shared" si="3"/>
        <v>777250</v>
      </c>
      <c r="O13" s="68">
        <v>45867</v>
      </c>
      <c r="P13" s="72"/>
      <c r="Q13" s="72"/>
      <c r="R13" s="69">
        <v>170000</v>
      </c>
      <c r="S13" s="69"/>
      <c r="T13" s="69">
        <v>50000</v>
      </c>
      <c r="U13" s="70"/>
      <c r="V13" s="70"/>
      <c r="W13" s="70"/>
      <c r="X13" s="70"/>
      <c r="Y13" s="70"/>
      <c r="Z13" s="70"/>
      <c r="AA13" s="70"/>
      <c r="AB13" s="69">
        <f t="shared" si="1"/>
        <v>220000</v>
      </c>
      <c r="AC13" s="69">
        <f t="shared" si="2"/>
        <v>22250</v>
      </c>
    </row>
    <row r="14" spans="1:30" s="73" customFormat="1" x14ac:dyDescent="0.25">
      <c r="A14" s="68">
        <v>45868</v>
      </c>
      <c r="B14" s="69">
        <v>100000</v>
      </c>
      <c r="C14" s="69">
        <v>0</v>
      </c>
      <c r="D14" s="69">
        <v>0</v>
      </c>
      <c r="E14" s="70"/>
      <c r="F14" s="70"/>
      <c r="G14" s="70"/>
      <c r="H14" s="70"/>
      <c r="I14" s="70"/>
      <c r="J14" s="70"/>
      <c r="K14" s="70"/>
      <c r="L14" s="70"/>
      <c r="M14" s="71">
        <f t="shared" si="5"/>
        <v>100000</v>
      </c>
      <c r="N14" s="71">
        <f t="shared" si="3"/>
        <v>877250</v>
      </c>
      <c r="O14" s="68">
        <v>45868</v>
      </c>
      <c r="P14" s="72"/>
      <c r="Q14" s="72"/>
      <c r="R14" s="69">
        <v>45000</v>
      </c>
      <c r="S14" s="69"/>
      <c r="T14" s="69">
        <v>10000</v>
      </c>
      <c r="U14" s="70"/>
      <c r="V14" s="70"/>
      <c r="W14" s="70"/>
      <c r="X14" s="70"/>
      <c r="Y14" s="70"/>
      <c r="Z14" s="70"/>
      <c r="AA14" s="70"/>
      <c r="AB14" s="69">
        <f t="shared" si="1"/>
        <v>55000</v>
      </c>
      <c r="AC14" s="69">
        <f t="shared" si="2"/>
        <v>67250</v>
      </c>
    </row>
    <row r="15" spans="1:30" s="73" customFormat="1" x14ac:dyDescent="0.25">
      <c r="A15" s="68">
        <v>45869</v>
      </c>
      <c r="B15" s="69">
        <v>300000</v>
      </c>
      <c r="C15" s="69">
        <v>0</v>
      </c>
      <c r="D15" s="69">
        <v>0</v>
      </c>
      <c r="E15" s="70"/>
      <c r="F15" s="70"/>
      <c r="G15" s="70"/>
      <c r="H15" s="70"/>
      <c r="I15" s="70"/>
      <c r="J15" s="70"/>
      <c r="K15" s="70"/>
      <c r="L15" s="70"/>
      <c r="M15" s="71">
        <f t="shared" si="5"/>
        <v>300000</v>
      </c>
      <c r="N15" s="71">
        <f t="shared" si="3"/>
        <v>1177250</v>
      </c>
      <c r="O15" s="68">
        <v>45869</v>
      </c>
      <c r="P15" s="72"/>
      <c r="Q15" s="72"/>
      <c r="R15" s="70"/>
      <c r="S15" s="70"/>
      <c r="T15" s="83">
        <f>20000+25000</f>
        <v>45000</v>
      </c>
      <c r="U15" s="70"/>
      <c r="V15" s="69">
        <v>300000</v>
      </c>
      <c r="W15" s="69">
        <v>500</v>
      </c>
      <c r="X15" s="69"/>
      <c r="Y15" s="69"/>
      <c r="Z15" s="69"/>
      <c r="AA15" s="69"/>
      <c r="AB15" s="69">
        <f t="shared" si="1"/>
        <v>345500</v>
      </c>
      <c r="AC15" s="69">
        <f t="shared" si="2"/>
        <v>21750</v>
      </c>
      <c r="AD15" s="73" t="s">
        <v>90</v>
      </c>
    </row>
    <row r="16" spans="1:30" s="82" customFormat="1" x14ac:dyDescent="0.25">
      <c r="A16" s="77"/>
      <c r="B16" s="78"/>
      <c r="C16" s="78"/>
      <c r="D16" s="78"/>
      <c r="E16" s="79"/>
      <c r="F16" s="79"/>
      <c r="G16" s="79"/>
      <c r="H16" s="79"/>
      <c r="I16" s="79"/>
      <c r="J16" s="79"/>
      <c r="K16" s="79"/>
      <c r="L16" s="79"/>
      <c r="M16" s="80"/>
      <c r="N16" s="80"/>
      <c r="O16" s="77"/>
      <c r="P16" s="81"/>
      <c r="Q16" s="81"/>
      <c r="R16" s="79"/>
      <c r="S16" s="79"/>
      <c r="T16" s="78"/>
      <c r="U16" s="79"/>
      <c r="V16" s="78"/>
      <c r="W16" s="78"/>
      <c r="X16" s="78"/>
      <c r="Y16" s="78"/>
      <c r="Z16" s="78"/>
      <c r="AA16" s="78"/>
      <c r="AB16" s="78">
        <f t="shared" si="1"/>
        <v>0</v>
      </c>
      <c r="AC16" s="78"/>
    </row>
  </sheetData>
  <pageMargins left="0.7" right="0.7" top="0.75" bottom="0.75" header="0.3" footer="0.3"/>
  <pageSetup orientation="portrait" horizontalDpi="300" verticalDpi="0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8"/>
  <sheetViews>
    <sheetView zoomScaleNormal="100" workbookViewId="0">
      <pane ySplit="2" topLeftCell="A3" activePane="bottomLeft" state="frozen"/>
      <selection pane="bottomLeft" activeCell="I14" sqref="I14"/>
    </sheetView>
  </sheetViews>
  <sheetFormatPr defaultRowHeight="15" x14ac:dyDescent="0.25"/>
  <cols>
    <col min="1" max="1" width="11" style="3" customWidth="1"/>
    <col min="2" max="2" width="23.5703125" style="3" customWidth="1"/>
    <col min="3" max="3" width="15.7109375" style="52" customWidth="1"/>
    <col min="4" max="4" width="14.28515625" style="108" customWidth="1"/>
    <col min="5" max="5" width="15" style="50" customWidth="1"/>
    <col min="6" max="6" width="14.28515625" style="110" customWidth="1"/>
    <col min="7" max="7" width="16.5703125" style="52" customWidth="1"/>
    <col min="8" max="8" width="14.28515625" style="110" customWidth="1"/>
    <col min="9" max="9" width="13.140625" customWidth="1"/>
    <col min="10" max="10" width="13.85546875" customWidth="1"/>
    <col min="11" max="11" width="15.28515625" customWidth="1"/>
    <col min="14" max="15" width="11" customWidth="1"/>
    <col min="16" max="16" width="12.5703125" customWidth="1"/>
    <col min="17" max="17" width="12.140625" customWidth="1"/>
  </cols>
  <sheetData>
    <row r="1" spans="1:17" ht="15.75" thickBot="1" x14ac:dyDescent="0.3">
      <c r="C1" s="120" t="s">
        <v>1</v>
      </c>
      <c r="D1" s="121"/>
      <c r="E1" s="122" t="s">
        <v>2</v>
      </c>
      <c r="F1" s="123"/>
      <c r="G1" s="124" t="s">
        <v>3</v>
      </c>
      <c r="H1" s="125"/>
    </row>
    <row r="2" spans="1:17" s="19" customFormat="1" ht="26.25" thickBot="1" x14ac:dyDescent="0.3">
      <c r="A2" s="14" t="s">
        <v>0</v>
      </c>
      <c r="B2" s="14" t="s">
        <v>10</v>
      </c>
      <c r="C2" s="116" t="s">
        <v>98</v>
      </c>
      <c r="D2" s="111" t="s">
        <v>99</v>
      </c>
      <c r="E2" s="115" t="s">
        <v>100</v>
      </c>
      <c r="F2" s="112" t="s">
        <v>99</v>
      </c>
      <c r="G2" s="116" t="s">
        <v>100</v>
      </c>
      <c r="H2" s="112" t="s">
        <v>99</v>
      </c>
      <c r="I2" s="15" t="s">
        <v>4</v>
      </c>
      <c r="J2" s="15" t="s">
        <v>5</v>
      </c>
      <c r="K2" s="16" t="s">
        <v>6</v>
      </c>
      <c r="L2" s="2"/>
      <c r="M2" s="2"/>
      <c r="N2" s="2"/>
      <c r="O2" s="17"/>
      <c r="P2" s="18"/>
      <c r="Q2" s="15"/>
    </row>
    <row r="3" spans="1:17" ht="15.75" thickBot="1" x14ac:dyDescent="0.3">
      <c r="A3" s="4">
        <v>45856</v>
      </c>
      <c r="B3" s="4"/>
      <c r="C3" s="51">
        <v>200000</v>
      </c>
      <c r="D3" s="106"/>
      <c r="E3" s="113">
        <v>0</v>
      </c>
      <c r="F3" s="109"/>
      <c r="G3" s="51">
        <v>0</v>
      </c>
      <c r="H3" s="107"/>
      <c r="I3" s="6">
        <v>0</v>
      </c>
      <c r="J3" s="7">
        <f t="shared" ref="J3:J8" si="0">C3+E3+G3+I3</f>
        <v>200000</v>
      </c>
      <c r="K3" s="8">
        <f>J3</f>
        <v>200000</v>
      </c>
      <c r="L3" s="9"/>
      <c r="M3" s="10"/>
      <c r="N3" s="10"/>
      <c r="O3" s="11"/>
      <c r="P3" s="12"/>
      <c r="Q3" s="7"/>
    </row>
    <row r="4" spans="1:17" ht="15.75" thickBot="1" x14ac:dyDescent="0.3">
      <c r="A4" s="4">
        <v>45857</v>
      </c>
      <c r="B4" s="4"/>
      <c r="C4" s="51">
        <v>150000</v>
      </c>
      <c r="D4" s="106"/>
      <c r="E4" s="114">
        <v>40000</v>
      </c>
      <c r="F4" s="109"/>
      <c r="G4" s="51">
        <v>0</v>
      </c>
      <c r="H4" s="107"/>
      <c r="I4" s="6">
        <v>0</v>
      </c>
      <c r="J4" s="7">
        <f t="shared" si="0"/>
        <v>190000</v>
      </c>
      <c r="K4" s="8">
        <f>K3+J4</f>
        <v>390000</v>
      </c>
      <c r="L4" s="10"/>
      <c r="M4" s="10"/>
      <c r="N4" s="10"/>
      <c r="O4" s="11"/>
      <c r="P4" s="12"/>
      <c r="Q4" s="7"/>
    </row>
    <row r="5" spans="1:17" ht="15.75" thickBot="1" x14ac:dyDescent="0.3">
      <c r="A5" s="4">
        <v>45858</v>
      </c>
      <c r="B5" s="4"/>
      <c r="C5" s="126">
        <v>52000</v>
      </c>
      <c r="D5" s="106">
        <v>52000</v>
      </c>
      <c r="E5" s="113">
        <v>0</v>
      </c>
      <c r="F5" s="109"/>
      <c r="G5" s="51">
        <v>0</v>
      </c>
      <c r="H5" s="109"/>
      <c r="I5" s="6">
        <v>0</v>
      </c>
      <c r="J5" s="7">
        <f t="shared" si="0"/>
        <v>52000</v>
      </c>
      <c r="K5" s="8">
        <f t="shared" ref="K5:K8" si="1">K4+J5</f>
        <v>442000</v>
      </c>
      <c r="L5" s="10"/>
      <c r="M5" s="10"/>
      <c r="N5" s="10"/>
      <c r="O5" s="13"/>
      <c r="P5" s="12"/>
      <c r="Q5" s="7"/>
    </row>
    <row r="6" spans="1:17" ht="15.75" thickBot="1" x14ac:dyDescent="0.3">
      <c r="A6" s="4">
        <v>45859</v>
      </c>
      <c r="B6" s="4"/>
      <c r="C6" s="51">
        <v>0</v>
      </c>
      <c r="D6" s="106"/>
      <c r="E6" s="113">
        <v>0</v>
      </c>
      <c r="F6" s="109"/>
      <c r="G6" s="51">
        <v>0</v>
      </c>
      <c r="H6" s="109"/>
      <c r="I6" s="6">
        <v>0</v>
      </c>
      <c r="J6" s="7">
        <f t="shared" si="0"/>
        <v>0</v>
      </c>
      <c r="K6" s="8">
        <f t="shared" si="1"/>
        <v>442000</v>
      </c>
      <c r="L6" s="10"/>
      <c r="M6" s="10"/>
      <c r="N6" s="10"/>
      <c r="O6" s="11"/>
      <c r="P6" s="12"/>
      <c r="Q6" s="7"/>
    </row>
    <row r="7" spans="1:17" ht="15.75" thickBot="1" x14ac:dyDescent="0.3">
      <c r="A7" s="4">
        <v>45860</v>
      </c>
      <c r="B7" s="4"/>
      <c r="C7" s="51">
        <v>140000</v>
      </c>
      <c r="D7" s="106"/>
      <c r="E7" s="113">
        <v>0</v>
      </c>
      <c r="F7" s="109"/>
      <c r="G7" s="51">
        <v>0</v>
      </c>
      <c r="H7" s="109"/>
      <c r="I7" s="6">
        <v>0</v>
      </c>
      <c r="J7" s="7">
        <f t="shared" si="0"/>
        <v>140000</v>
      </c>
      <c r="K7" s="8">
        <f t="shared" si="1"/>
        <v>582000</v>
      </c>
      <c r="L7" s="10"/>
      <c r="M7" s="10"/>
      <c r="N7" s="10"/>
      <c r="O7" s="11"/>
      <c r="P7" s="12"/>
      <c r="Q7" s="7"/>
    </row>
    <row r="8" spans="1:17" ht="15.75" thickBot="1" x14ac:dyDescent="0.3">
      <c r="A8" s="4">
        <v>45861</v>
      </c>
      <c r="B8" s="4"/>
      <c r="C8" s="51">
        <v>0</v>
      </c>
      <c r="D8" s="106"/>
      <c r="E8" s="113">
        <v>0</v>
      </c>
      <c r="F8" s="109"/>
      <c r="G8" s="51">
        <v>0</v>
      </c>
      <c r="H8" s="109"/>
      <c r="I8" s="6">
        <v>0</v>
      </c>
      <c r="J8" s="7">
        <f t="shared" si="0"/>
        <v>0</v>
      </c>
      <c r="K8" s="8">
        <f t="shared" si="1"/>
        <v>582000</v>
      </c>
      <c r="L8" s="9"/>
      <c r="M8" s="10"/>
      <c r="N8" s="10"/>
      <c r="O8" s="11"/>
      <c r="P8" s="12"/>
      <c r="Q8" s="7"/>
    </row>
  </sheetData>
  <pageMargins left="0.7" right="0.7" top="0.75" bottom="0.75" header="0.3" footer="0.3"/>
  <pageSetup orientation="portrait" horizontalDpi="300" verticalDpi="0" copies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M20" sqref="M20"/>
    </sheetView>
  </sheetViews>
  <sheetFormatPr defaultRowHeight="15" x14ac:dyDescent="0.25"/>
  <cols>
    <col min="1" max="1" width="10.7109375" style="134" bestFit="1" customWidth="1"/>
    <col min="2" max="2" width="9.140625" style="90"/>
    <col min="3" max="3" width="10.5703125" style="137" bestFit="1" customWidth="1"/>
    <col min="4" max="4" width="14.5703125" style="136" customWidth="1"/>
    <col min="5" max="5" width="11.7109375" style="134" customWidth="1"/>
    <col min="6" max="6" width="11.5703125" style="137" bestFit="1" customWidth="1"/>
    <col min="7" max="7" width="10.5703125" style="137" bestFit="1" customWidth="1"/>
    <col min="8" max="8" width="12.5703125" style="138" bestFit="1" customWidth="1"/>
    <col min="9" max="9" width="11" style="141" customWidth="1"/>
    <col min="10" max="11" width="9.140625" style="133"/>
    <col min="12" max="12" width="9.140625" style="135"/>
  </cols>
  <sheetData>
    <row r="1" spans="1:12" x14ac:dyDescent="0.25">
      <c r="A1" s="155" t="s">
        <v>132</v>
      </c>
      <c r="B1" s="156"/>
      <c r="C1" s="156"/>
      <c r="D1" s="157"/>
      <c r="E1" s="155" t="s">
        <v>139</v>
      </c>
      <c r="F1" s="156"/>
      <c r="G1" s="156"/>
      <c r="H1" s="157"/>
      <c r="I1" s="155" t="s">
        <v>140</v>
      </c>
      <c r="J1" s="156"/>
      <c r="K1" s="156"/>
      <c r="L1" s="157"/>
    </row>
    <row r="2" spans="1:12" x14ac:dyDescent="0.25">
      <c r="A2" s="134" t="s">
        <v>0</v>
      </c>
      <c r="B2" s="90" t="s">
        <v>136</v>
      </c>
      <c r="C2" s="137" t="s">
        <v>137</v>
      </c>
      <c r="D2" s="136" t="s">
        <v>138</v>
      </c>
      <c r="E2" s="134" t="s">
        <v>0</v>
      </c>
      <c r="F2" s="137" t="s">
        <v>136</v>
      </c>
      <c r="G2" s="137" t="s">
        <v>137</v>
      </c>
      <c r="H2" s="136" t="s">
        <v>138</v>
      </c>
      <c r="I2" s="134" t="s">
        <v>0</v>
      </c>
      <c r="J2" s="139" t="s">
        <v>136</v>
      </c>
      <c r="K2" s="139" t="s">
        <v>137</v>
      </c>
      <c r="L2" s="140" t="s">
        <v>138</v>
      </c>
    </row>
    <row r="3" spans="1:12" x14ac:dyDescent="0.25">
      <c r="D3" s="136">
        <f>B3-C3</f>
        <v>0</v>
      </c>
      <c r="H3" s="138">
        <f>F3-G3</f>
        <v>0</v>
      </c>
      <c r="I3" s="134"/>
      <c r="J3" s="139"/>
      <c r="K3" s="139"/>
      <c r="L3" s="140">
        <f>J3</f>
        <v>0</v>
      </c>
    </row>
    <row r="4" spans="1:12" x14ac:dyDescent="0.25">
      <c r="D4" s="136">
        <f t="shared" ref="D4:D17" si="0">B4-C4</f>
        <v>0</v>
      </c>
      <c r="H4" s="138">
        <f t="shared" ref="H4:H17" si="1">F4-G4</f>
        <v>0</v>
      </c>
      <c r="I4" s="134"/>
      <c r="J4" s="139"/>
      <c r="K4" s="139"/>
      <c r="L4" s="140">
        <f>L3+J4-K4</f>
        <v>0</v>
      </c>
    </row>
    <row r="5" spans="1:12" x14ac:dyDescent="0.25">
      <c r="D5" s="136">
        <f t="shared" si="0"/>
        <v>0</v>
      </c>
      <c r="H5" s="138">
        <f t="shared" si="1"/>
        <v>0</v>
      </c>
      <c r="I5" s="134"/>
      <c r="J5" s="139"/>
      <c r="K5" s="139"/>
      <c r="L5" s="140">
        <f t="shared" ref="L5:L17" si="2">L4+J5-K5</f>
        <v>0</v>
      </c>
    </row>
    <row r="6" spans="1:12" x14ac:dyDescent="0.25">
      <c r="D6" s="136">
        <f t="shared" si="0"/>
        <v>0</v>
      </c>
      <c r="H6" s="138">
        <f t="shared" si="1"/>
        <v>0</v>
      </c>
      <c r="I6" s="134"/>
      <c r="J6" s="139"/>
      <c r="K6" s="139"/>
      <c r="L6" s="140">
        <f t="shared" si="2"/>
        <v>0</v>
      </c>
    </row>
    <row r="7" spans="1:12" x14ac:dyDescent="0.25">
      <c r="D7" s="136">
        <f t="shared" si="0"/>
        <v>0</v>
      </c>
      <c r="H7" s="138">
        <f t="shared" si="1"/>
        <v>0</v>
      </c>
      <c r="I7" s="134"/>
      <c r="J7" s="139"/>
      <c r="K7" s="139"/>
      <c r="L7" s="140">
        <f t="shared" si="2"/>
        <v>0</v>
      </c>
    </row>
    <row r="8" spans="1:12" x14ac:dyDescent="0.25">
      <c r="D8" s="136">
        <f t="shared" si="0"/>
        <v>0</v>
      </c>
      <c r="H8" s="138">
        <f t="shared" si="1"/>
        <v>0</v>
      </c>
      <c r="I8" s="134"/>
      <c r="J8" s="139"/>
      <c r="K8" s="139"/>
      <c r="L8" s="140">
        <f t="shared" si="2"/>
        <v>0</v>
      </c>
    </row>
    <row r="9" spans="1:12" x14ac:dyDescent="0.25">
      <c r="D9" s="136">
        <f t="shared" si="0"/>
        <v>0</v>
      </c>
      <c r="H9" s="138">
        <f t="shared" si="1"/>
        <v>0</v>
      </c>
      <c r="I9" s="134">
        <v>45956</v>
      </c>
      <c r="J9" s="139">
        <v>100000</v>
      </c>
      <c r="K9" s="139"/>
      <c r="L9" s="140">
        <f>L8+J9-K9</f>
        <v>100000</v>
      </c>
    </row>
    <row r="10" spans="1:12" x14ac:dyDescent="0.25">
      <c r="D10" s="136">
        <f t="shared" si="0"/>
        <v>0</v>
      </c>
      <c r="H10" s="138">
        <f t="shared" si="1"/>
        <v>0</v>
      </c>
      <c r="I10" s="134">
        <v>45959</v>
      </c>
      <c r="J10" s="139"/>
      <c r="K10" s="139">
        <v>50000</v>
      </c>
      <c r="L10" s="140">
        <f t="shared" si="2"/>
        <v>50000</v>
      </c>
    </row>
    <row r="11" spans="1:12" x14ac:dyDescent="0.25">
      <c r="A11" s="134">
        <v>45954</v>
      </c>
      <c r="C11" s="137">
        <v>50000</v>
      </c>
      <c r="D11" s="136">
        <f t="shared" si="0"/>
        <v>-50000</v>
      </c>
      <c r="H11" s="138">
        <f t="shared" si="1"/>
        <v>0</v>
      </c>
      <c r="I11" s="134">
        <v>45960</v>
      </c>
      <c r="J11" s="139">
        <v>300000</v>
      </c>
      <c r="K11" s="139"/>
      <c r="L11" s="140">
        <f>L10+J11-K11</f>
        <v>350000</v>
      </c>
    </row>
    <row r="12" spans="1:12" x14ac:dyDescent="0.25">
      <c r="D12" s="136">
        <f t="shared" si="0"/>
        <v>0</v>
      </c>
      <c r="H12" s="138">
        <f t="shared" si="1"/>
        <v>0</v>
      </c>
      <c r="I12" s="134">
        <v>45961</v>
      </c>
      <c r="J12" s="139"/>
      <c r="K12" s="139">
        <v>50000</v>
      </c>
      <c r="L12" s="140">
        <f t="shared" si="2"/>
        <v>300000</v>
      </c>
    </row>
    <row r="13" spans="1:12" x14ac:dyDescent="0.25">
      <c r="D13" s="136">
        <f t="shared" si="0"/>
        <v>0</v>
      </c>
      <c r="E13" s="134">
        <v>45960</v>
      </c>
      <c r="F13" s="137">
        <v>500000</v>
      </c>
      <c r="H13" s="138">
        <f t="shared" si="1"/>
        <v>500000</v>
      </c>
      <c r="I13" s="134"/>
      <c r="J13" s="139"/>
      <c r="K13" s="139"/>
      <c r="L13" s="140">
        <f t="shared" si="2"/>
        <v>300000</v>
      </c>
    </row>
    <row r="14" spans="1:12" x14ac:dyDescent="0.25">
      <c r="D14" s="136">
        <f t="shared" si="0"/>
        <v>0</v>
      </c>
      <c r="H14" s="138">
        <f t="shared" si="1"/>
        <v>0</v>
      </c>
      <c r="I14" s="134"/>
      <c r="J14" s="139"/>
      <c r="K14" s="139"/>
      <c r="L14" s="140">
        <f t="shared" si="2"/>
        <v>300000</v>
      </c>
    </row>
    <row r="15" spans="1:12" x14ac:dyDescent="0.25">
      <c r="D15" s="136">
        <f t="shared" si="0"/>
        <v>0</v>
      </c>
      <c r="H15" s="138">
        <f t="shared" si="1"/>
        <v>0</v>
      </c>
      <c r="I15" s="134"/>
      <c r="J15" s="139"/>
      <c r="K15" s="139"/>
      <c r="L15" s="140">
        <f t="shared" si="2"/>
        <v>300000</v>
      </c>
    </row>
    <row r="16" spans="1:12" x14ac:dyDescent="0.25">
      <c r="D16" s="136">
        <f t="shared" si="0"/>
        <v>0</v>
      </c>
      <c r="H16" s="138">
        <f t="shared" si="1"/>
        <v>0</v>
      </c>
      <c r="I16" s="134"/>
      <c r="J16" s="139"/>
      <c r="K16" s="139"/>
      <c r="L16" s="140">
        <f>L15+J16-K16</f>
        <v>300000</v>
      </c>
    </row>
    <row r="17" spans="4:12" x14ac:dyDescent="0.25">
      <c r="D17" s="136">
        <f t="shared" si="0"/>
        <v>0</v>
      </c>
      <c r="H17" s="138">
        <f t="shared" si="1"/>
        <v>0</v>
      </c>
      <c r="I17" s="134"/>
      <c r="J17" s="139"/>
      <c r="K17" s="139"/>
      <c r="L17" s="140">
        <f t="shared" si="2"/>
        <v>300000</v>
      </c>
    </row>
  </sheetData>
  <mergeCells count="3">
    <mergeCell ref="A1:D1"/>
    <mergeCell ref="E1:H1"/>
    <mergeCell ref="I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86"/>
  <sheetViews>
    <sheetView tabSelected="1" workbookViewId="0">
      <selection activeCell="A12" sqref="A12"/>
    </sheetView>
  </sheetViews>
  <sheetFormatPr defaultColWidth="14.7109375" defaultRowHeight="15" x14ac:dyDescent="0.25"/>
  <cols>
    <col min="1" max="1" width="3.5703125" bestFit="1" customWidth="1"/>
    <col min="2" max="2" width="16.140625" bestFit="1" customWidth="1"/>
  </cols>
  <sheetData>
    <row r="1" spans="1:185" x14ac:dyDescent="0.25">
      <c r="B1" t="s">
        <v>19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</row>
    <row r="2" spans="1:185" x14ac:dyDescent="0.25">
      <c r="B2" t="s">
        <v>11</v>
      </c>
      <c r="C2" t="s">
        <v>18</v>
      </c>
      <c r="D2" t="s">
        <v>20</v>
      </c>
      <c r="E2" t="s">
        <v>21</v>
      </c>
      <c r="F2" t="s">
        <v>22</v>
      </c>
      <c r="G2" t="s">
        <v>23</v>
      </c>
    </row>
    <row r="3" spans="1:185" s="22" customFormat="1" x14ac:dyDescent="0.25">
      <c r="B3" s="22" t="s">
        <v>12</v>
      </c>
      <c r="C3" s="22">
        <v>767850049</v>
      </c>
      <c r="D3" s="22">
        <v>783891636</v>
      </c>
      <c r="E3" s="22">
        <v>779907450</v>
      </c>
      <c r="F3" s="22">
        <v>776038166</v>
      </c>
      <c r="G3" s="22">
        <v>768675303</v>
      </c>
    </row>
    <row r="4" spans="1:185" s="23" customFormat="1" x14ac:dyDescent="0.25">
      <c r="A4" s="22"/>
      <c r="B4" s="22" t="s">
        <v>13</v>
      </c>
      <c r="C4" s="23">
        <v>45856</v>
      </c>
      <c r="D4" s="23">
        <v>45856</v>
      </c>
      <c r="E4" s="23">
        <v>45856</v>
      </c>
      <c r="F4" s="23">
        <v>45857</v>
      </c>
      <c r="G4" s="23">
        <v>45859</v>
      </c>
      <c r="H4" s="23">
        <v>45859</v>
      </c>
      <c r="I4" s="23">
        <v>45860</v>
      </c>
      <c r="J4" s="23">
        <v>45861</v>
      </c>
      <c r="K4" s="23">
        <v>45862</v>
      </c>
      <c r="L4" s="23">
        <v>45863</v>
      </c>
      <c r="M4" s="23">
        <v>45864</v>
      </c>
      <c r="N4" s="23">
        <v>45865</v>
      </c>
      <c r="O4" s="23">
        <v>45866</v>
      </c>
      <c r="P4" s="23">
        <v>45867</v>
      </c>
      <c r="Q4" s="23">
        <v>45868</v>
      </c>
      <c r="R4" s="23">
        <v>45869</v>
      </c>
      <c r="S4" s="23">
        <v>45870</v>
      </c>
      <c r="T4" s="23">
        <v>45871</v>
      </c>
      <c r="U4" s="23">
        <v>45872</v>
      </c>
      <c r="V4" s="23">
        <v>45873</v>
      </c>
      <c r="W4" s="23">
        <v>45874</v>
      </c>
      <c r="X4" s="23">
        <v>45875</v>
      </c>
      <c r="Y4" s="23">
        <v>45876</v>
      </c>
      <c r="Z4" s="23">
        <v>45877</v>
      </c>
      <c r="AA4" s="23">
        <v>45878</v>
      </c>
      <c r="AB4" s="23">
        <v>45879</v>
      </c>
      <c r="AC4" s="23">
        <v>45880</v>
      </c>
      <c r="AD4" s="23">
        <v>45881</v>
      </c>
      <c r="AE4" s="23">
        <v>45882</v>
      </c>
      <c r="AF4" s="23">
        <v>45883</v>
      </c>
      <c r="AG4" s="23">
        <v>45884</v>
      </c>
      <c r="AH4" s="23">
        <v>45885</v>
      </c>
      <c r="AI4" s="23">
        <v>45886</v>
      </c>
      <c r="AJ4" s="23">
        <v>45887</v>
      </c>
      <c r="AK4" s="23">
        <v>45888</v>
      </c>
      <c r="AL4" s="23">
        <v>45889</v>
      </c>
      <c r="AM4" s="23">
        <v>45890</v>
      </c>
      <c r="AN4" s="23">
        <v>45891</v>
      </c>
      <c r="AO4" s="23">
        <v>45892</v>
      </c>
      <c r="AP4" s="23">
        <v>45893</v>
      </c>
      <c r="AQ4" s="23">
        <v>45894</v>
      </c>
      <c r="AR4" s="23">
        <v>45895</v>
      </c>
      <c r="AS4" s="23">
        <v>45896</v>
      </c>
      <c r="AT4" s="23">
        <v>45897</v>
      </c>
      <c r="AU4" s="23">
        <v>45898</v>
      </c>
      <c r="AV4" s="23">
        <v>45899</v>
      </c>
      <c r="AW4" s="23">
        <v>45900</v>
      </c>
      <c r="AX4" s="23">
        <v>45901</v>
      </c>
      <c r="AY4" s="23">
        <v>45902</v>
      </c>
      <c r="AZ4" s="23">
        <v>45903</v>
      </c>
      <c r="BA4" s="23">
        <v>45904</v>
      </c>
      <c r="BB4" s="23">
        <v>45905</v>
      </c>
      <c r="BC4" s="23">
        <v>45906</v>
      </c>
      <c r="BD4" s="23">
        <v>45907</v>
      </c>
      <c r="BE4" s="23">
        <v>45908</v>
      </c>
      <c r="BF4" s="23">
        <v>45909</v>
      </c>
      <c r="BG4" s="23">
        <v>45910</v>
      </c>
      <c r="BH4" s="23">
        <v>45911</v>
      </c>
      <c r="BI4" s="23">
        <v>45912</v>
      </c>
      <c r="BJ4" s="23">
        <v>45913</v>
      </c>
      <c r="BK4" s="23">
        <v>45914</v>
      </c>
      <c r="BL4" s="23">
        <v>45915</v>
      </c>
      <c r="BM4" s="23">
        <v>45916</v>
      </c>
      <c r="BN4" s="23">
        <v>45917</v>
      </c>
      <c r="BO4" s="23">
        <v>45918</v>
      </c>
      <c r="BP4" s="23">
        <v>45919</v>
      </c>
      <c r="BQ4" s="23">
        <v>45920</v>
      </c>
    </row>
    <row r="5" spans="1:185" s="22" customFormat="1" x14ac:dyDescent="0.25">
      <c r="B5" s="22" t="s">
        <v>14</v>
      </c>
      <c r="C5" s="22">
        <v>3000</v>
      </c>
      <c r="D5" s="22">
        <v>3000</v>
      </c>
      <c r="E5" s="22">
        <v>500</v>
      </c>
      <c r="F5" s="22">
        <v>1000</v>
      </c>
      <c r="G5" s="22">
        <v>1200</v>
      </c>
    </row>
    <row r="6" spans="1:185" s="24" customFormat="1" x14ac:dyDescent="0.25">
      <c r="B6" s="24" t="s">
        <v>15</v>
      </c>
      <c r="C6" s="24">
        <v>8</v>
      </c>
      <c r="D6" s="24">
        <v>8</v>
      </c>
      <c r="E6" s="24">
        <v>60</v>
      </c>
      <c r="F6" s="24">
        <v>60</v>
      </c>
      <c r="G6" s="24">
        <v>60</v>
      </c>
      <c r="H6" s="24">
        <v>60</v>
      </c>
    </row>
    <row r="7" spans="1:185" s="22" customFormat="1" x14ac:dyDescent="0.25">
      <c r="B7" s="22" t="s">
        <v>16</v>
      </c>
      <c r="C7" s="1" t="s">
        <v>24</v>
      </c>
      <c r="D7" s="1" t="s">
        <v>24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</row>
    <row r="8" spans="1:185" s="27" customFormat="1" x14ac:dyDescent="0.25">
      <c r="A8" s="25"/>
      <c r="B8" s="25" t="s">
        <v>17</v>
      </c>
      <c r="C8" s="26">
        <v>20000</v>
      </c>
      <c r="D8" s="26">
        <v>20000</v>
      </c>
      <c r="E8" s="26">
        <v>20000</v>
      </c>
      <c r="F8" s="26">
        <v>20000</v>
      </c>
      <c r="G8" s="26">
        <v>20000</v>
      </c>
      <c r="H8" s="26">
        <v>20000</v>
      </c>
      <c r="I8" s="26">
        <v>20000</v>
      </c>
      <c r="J8" s="26">
        <v>20000</v>
      </c>
      <c r="K8" s="26">
        <v>20000</v>
      </c>
      <c r="L8" s="26">
        <v>20000</v>
      </c>
      <c r="M8" s="26">
        <v>20000</v>
      </c>
    </row>
    <row r="9" spans="1:185" s="30" customFormat="1" x14ac:dyDescent="0.25">
      <c r="A9" s="22"/>
      <c r="B9" s="22" t="s">
        <v>27</v>
      </c>
      <c r="C9" s="28">
        <f t="shared" ref="C9:M9" si="0">C5*C6</f>
        <v>24000</v>
      </c>
      <c r="D9" s="28">
        <f t="shared" si="0"/>
        <v>24000</v>
      </c>
      <c r="E9" s="28">
        <f t="shared" si="0"/>
        <v>30000</v>
      </c>
      <c r="F9" s="28">
        <f t="shared" si="0"/>
        <v>60000</v>
      </c>
      <c r="G9" s="28">
        <f t="shared" si="0"/>
        <v>72000</v>
      </c>
      <c r="H9" s="28">
        <f t="shared" si="0"/>
        <v>0</v>
      </c>
      <c r="I9" s="28">
        <f t="shared" si="0"/>
        <v>0</v>
      </c>
      <c r="J9" s="28">
        <f t="shared" si="0"/>
        <v>0</v>
      </c>
      <c r="K9" s="28">
        <f t="shared" si="0"/>
        <v>0</v>
      </c>
      <c r="L9" s="28">
        <f t="shared" si="0"/>
        <v>0</v>
      </c>
      <c r="M9" s="28">
        <f t="shared" si="0"/>
        <v>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</row>
    <row r="10" spans="1:185" s="30" customFormat="1" x14ac:dyDescent="0.25">
      <c r="A10" s="22"/>
      <c r="B10" s="22" t="s">
        <v>26</v>
      </c>
      <c r="C10" s="29">
        <v>0.1</v>
      </c>
      <c r="D10" s="29">
        <v>0.1</v>
      </c>
      <c r="E10" s="29">
        <v>0.1</v>
      </c>
      <c r="F10" s="29">
        <v>0.1</v>
      </c>
      <c r="G10" s="29">
        <v>0.1</v>
      </c>
      <c r="H10" s="29">
        <v>0.1</v>
      </c>
      <c r="I10" s="29">
        <v>0.1</v>
      </c>
      <c r="J10" s="29">
        <v>0.1</v>
      </c>
      <c r="K10" s="29">
        <v>0.1</v>
      </c>
      <c r="L10" s="29">
        <v>0.1</v>
      </c>
      <c r="M10" s="29">
        <v>0.1</v>
      </c>
      <c r="N10" s="29">
        <v>0.1</v>
      </c>
      <c r="O10" s="29">
        <v>0.1</v>
      </c>
      <c r="P10" s="29">
        <v>0.1</v>
      </c>
      <c r="Q10" s="29">
        <v>0.1</v>
      </c>
      <c r="R10" s="29">
        <v>0.1</v>
      </c>
      <c r="S10" s="29">
        <v>0.1</v>
      </c>
      <c r="T10" s="29">
        <v>0.1</v>
      </c>
      <c r="U10" s="29">
        <v>0.1</v>
      </c>
      <c r="V10" s="29">
        <v>0.1</v>
      </c>
      <c r="W10" s="29">
        <v>0.1</v>
      </c>
      <c r="X10" s="29">
        <v>0.1</v>
      </c>
      <c r="Y10" s="29">
        <v>0.1</v>
      </c>
      <c r="Z10" s="29">
        <v>0.1</v>
      </c>
      <c r="AA10" s="29">
        <v>0.1</v>
      </c>
      <c r="AB10" s="29">
        <v>0.1</v>
      </c>
      <c r="AC10" s="29">
        <v>0.1</v>
      </c>
      <c r="AD10" s="29">
        <v>0.1</v>
      </c>
      <c r="AE10" s="29">
        <v>0.1</v>
      </c>
      <c r="AF10" s="29">
        <v>0.1</v>
      </c>
      <c r="AG10" s="29">
        <v>0.1</v>
      </c>
      <c r="AH10" s="29">
        <v>0.1</v>
      </c>
      <c r="AI10" s="29">
        <v>0.1</v>
      </c>
      <c r="AJ10" s="29">
        <v>0.1</v>
      </c>
      <c r="AK10" s="29">
        <v>0.1</v>
      </c>
      <c r="AL10" s="29">
        <v>0.1</v>
      </c>
      <c r="AM10" s="29">
        <v>0.1</v>
      </c>
      <c r="AN10" s="29">
        <v>0.1</v>
      </c>
      <c r="AO10" s="29">
        <v>0.1</v>
      </c>
      <c r="AP10" s="29">
        <v>0.1</v>
      </c>
      <c r="AQ10" s="29">
        <v>0.1</v>
      </c>
      <c r="AR10" s="29">
        <v>0.1</v>
      </c>
      <c r="AS10" s="29">
        <v>0.1</v>
      </c>
      <c r="AT10" s="29">
        <v>0.1</v>
      </c>
      <c r="AU10" s="29">
        <v>0.1</v>
      </c>
      <c r="AV10" s="29">
        <v>0.1</v>
      </c>
      <c r="AW10" s="29">
        <v>0.1</v>
      </c>
      <c r="AX10" s="29">
        <v>0.1</v>
      </c>
      <c r="AY10" s="29">
        <v>0.1</v>
      </c>
      <c r="AZ10" s="29">
        <v>0.1</v>
      </c>
      <c r="BA10" s="29">
        <v>0.1</v>
      </c>
      <c r="BB10" s="29">
        <v>0.1</v>
      </c>
      <c r="BC10" s="29">
        <v>0.1</v>
      </c>
      <c r="BD10" s="29">
        <v>0.1</v>
      </c>
      <c r="BE10" s="29">
        <v>0.1</v>
      </c>
      <c r="BF10" s="29">
        <v>0.1</v>
      </c>
      <c r="BG10" s="29">
        <v>0.1</v>
      </c>
      <c r="BH10" s="29">
        <v>0.1</v>
      </c>
      <c r="BI10" s="29">
        <v>0.1</v>
      </c>
      <c r="BJ10" s="29">
        <v>0.1</v>
      </c>
      <c r="BK10" s="29">
        <v>0.1</v>
      </c>
      <c r="BL10" s="29">
        <v>0.1</v>
      </c>
      <c r="BM10" s="29">
        <v>0.1</v>
      </c>
    </row>
    <row r="11" spans="1:185" s="33" customFormat="1" x14ac:dyDescent="0.25">
      <c r="A11" s="31"/>
      <c r="B11" s="31" t="s">
        <v>28</v>
      </c>
      <c r="C11" s="32">
        <f>C9-C8</f>
        <v>4000</v>
      </c>
      <c r="D11" s="32">
        <f t="shared" ref="D11:BO11" si="1">D9-D8</f>
        <v>4000</v>
      </c>
      <c r="E11" s="32">
        <f t="shared" si="1"/>
        <v>10000</v>
      </c>
      <c r="F11" s="32">
        <f t="shared" si="1"/>
        <v>40000</v>
      </c>
      <c r="G11" s="32">
        <f t="shared" si="1"/>
        <v>52000</v>
      </c>
      <c r="H11" s="32">
        <f t="shared" si="1"/>
        <v>-20000</v>
      </c>
      <c r="I11" s="32">
        <f t="shared" si="1"/>
        <v>-20000</v>
      </c>
      <c r="J11" s="32">
        <f t="shared" si="1"/>
        <v>-20000</v>
      </c>
      <c r="K11" s="32">
        <f t="shared" si="1"/>
        <v>-20000</v>
      </c>
      <c r="L11" s="32">
        <f t="shared" si="1"/>
        <v>-20000</v>
      </c>
      <c r="M11" s="32">
        <f t="shared" si="1"/>
        <v>-20000</v>
      </c>
      <c r="N11" s="32">
        <f t="shared" si="1"/>
        <v>0</v>
      </c>
      <c r="O11" s="32">
        <f t="shared" si="1"/>
        <v>0</v>
      </c>
      <c r="P11" s="32">
        <f t="shared" si="1"/>
        <v>0</v>
      </c>
      <c r="Q11" s="32">
        <f t="shared" si="1"/>
        <v>0</v>
      </c>
      <c r="R11" s="32">
        <f t="shared" si="1"/>
        <v>0</v>
      </c>
      <c r="S11" s="32">
        <f t="shared" si="1"/>
        <v>0</v>
      </c>
      <c r="T11" s="32">
        <f t="shared" si="1"/>
        <v>0</v>
      </c>
      <c r="U11" s="32">
        <f t="shared" si="1"/>
        <v>0</v>
      </c>
      <c r="V11" s="32">
        <f t="shared" si="1"/>
        <v>0</v>
      </c>
      <c r="W11" s="32">
        <f t="shared" si="1"/>
        <v>0</v>
      </c>
      <c r="X11" s="32">
        <f t="shared" si="1"/>
        <v>0</v>
      </c>
      <c r="Y11" s="32">
        <f t="shared" si="1"/>
        <v>0</v>
      </c>
      <c r="Z11" s="32">
        <f t="shared" si="1"/>
        <v>0</v>
      </c>
      <c r="AA11" s="32">
        <f t="shared" si="1"/>
        <v>0</v>
      </c>
      <c r="AB11" s="32">
        <f t="shared" si="1"/>
        <v>0</v>
      </c>
      <c r="AC11" s="32">
        <f t="shared" si="1"/>
        <v>0</v>
      </c>
      <c r="AD11" s="32">
        <f t="shared" si="1"/>
        <v>0</v>
      </c>
      <c r="AE11" s="32">
        <f t="shared" si="1"/>
        <v>0</v>
      </c>
      <c r="AF11" s="32">
        <f t="shared" si="1"/>
        <v>0</v>
      </c>
      <c r="AG11" s="32">
        <f t="shared" si="1"/>
        <v>0</v>
      </c>
      <c r="AH11" s="32">
        <f t="shared" si="1"/>
        <v>0</v>
      </c>
      <c r="AI11" s="32">
        <f t="shared" si="1"/>
        <v>0</v>
      </c>
      <c r="AJ11" s="32">
        <f t="shared" si="1"/>
        <v>0</v>
      </c>
      <c r="AK11" s="32">
        <f t="shared" si="1"/>
        <v>0</v>
      </c>
      <c r="AL11" s="32">
        <f t="shared" si="1"/>
        <v>0</v>
      </c>
      <c r="AM11" s="32">
        <f t="shared" si="1"/>
        <v>0</v>
      </c>
      <c r="AN11" s="32">
        <f t="shared" si="1"/>
        <v>0</v>
      </c>
      <c r="AO11" s="32">
        <f t="shared" si="1"/>
        <v>0</v>
      </c>
      <c r="AP11" s="32">
        <f t="shared" si="1"/>
        <v>0</v>
      </c>
      <c r="AQ11" s="32">
        <f t="shared" si="1"/>
        <v>0</v>
      </c>
      <c r="AR11" s="32">
        <f t="shared" si="1"/>
        <v>0</v>
      </c>
      <c r="AS11" s="32">
        <f t="shared" si="1"/>
        <v>0</v>
      </c>
      <c r="AT11" s="32">
        <f t="shared" si="1"/>
        <v>0</v>
      </c>
      <c r="AU11" s="32">
        <f t="shared" si="1"/>
        <v>0</v>
      </c>
      <c r="AV11" s="32">
        <f t="shared" si="1"/>
        <v>0</v>
      </c>
      <c r="AW11" s="32">
        <f t="shared" si="1"/>
        <v>0</v>
      </c>
      <c r="AX11" s="32">
        <f t="shared" si="1"/>
        <v>0</v>
      </c>
      <c r="AY11" s="32">
        <f t="shared" si="1"/>
        <v>0</v>
      </c>
      <c r="AZ11" s="32">
        <f t="shared" si="1"/>
        <v>0</v>
      </c>
      <c r="BA11" s="32">
        <f t="shared" si="1"/>
        <v>0</v>
      </c>
      <c r="BB11" s="32">
        <f t="shared" si="1"/>
        <v>0</v>
      </c>
      <c r="BC11" s="32">
        <f t="shared" si="1"/>
        <v>0</v>
      </c>
      <c r="BD11" s="32">
        <f t="shared" si="1"/>
        <v>0</v>
      </c>
      <c r="BE11" s="32">
        <f t="shared" si="1"/>
        <v>0</v>
      </c>
      <c r="BF11" s="32">
        <f t="shared" si="1"/>
        <v>0</v>
      </c>
      <c r="BG11" s="32">
        <f t="shared" si="1"/>
        <v>0</v>
      </c>
      <c r="BH11" s="32">
        <f t="shared" si="1"/>
        <v>0</v>
      </c>
      <c r="BI11" s="32">
        <f t="shared" si="1"/>
        <v>0</v>
      </c>
      <c r="BJ11" s="32">
        <f t="shared" si="1"/>
        <v>0</v>
      </c>
      <c r="BK11" s="32">
        <f t="shared" si="1"/>
        <v>0</v>
      </c>
      <c r="BL11" s="32">
        <f t="shared" si="1"/>
        <v>0</v>
      </c>
      <c r="BM11" s="32">
        <f t="shared" si="1"/>
        <v>0</v>
      </c>
      <c r="BN11" s="32">
        <f t="shared" si="1"/>
        <v>0</v>
      </c>
      <c r="BO11" s="32">
        <f t="shared" si="1"/>
        <v>0</v>
      </c>
      <c r="BP11" s="32">
        <f t="shared" ref="BP11:EA11" si="2">BP9-BP8</f>
        <v>0</v>
      </c>
      <c r="BQ11" s="32">
        <f t="shared" si="2"/>
        <v>0</v>
      </c>
      <c r="BR11" s="32">
        <f t="shared" si="2"/>
        <v>0</v>
      </c>
      <c r="BS11" s="32">
        <f t="shared" si="2"/>
        <v>0</v>
      </c>
      <c r="BT11" s="32">
        <f t="shared" si="2"/>
        <v>0</v>
      </c>
      <c r="BU11" s="32">
        <f t="shared" si="2"/>
        <v>0</v>
      </c>
      <c r="BV11" s="32">
        <f t="shared" si="2"/>
        <v>0</v>
      </c>
      <c r="BW11" s="32">
        <f t="shared" si="2"/>
        <v>0</v>
      </c>
      <c r="BX11" s="32">
        <f t="shared" si="2"/>
        <v>0</v>
      </c>
      <c r="BY11" s="32">
        <f t="shared" si="2"/>
        <v>0</v>
      </c>
      <c r="BZ11" s="32">
        <f t="shared" si="2"/>
        <v>0</v>
      </c>
      <c r="CA11" s="32">
        <f t="shared" si="2"/>
        <v>0</v>
      </c>
      <c r="CB11" s="32">
        <f t="shared" si="2"/>
        <v>0</v>
      </c>
      <c r="CC11" s="32">
        <f t="shared" si="2"/>
        <v>0</v>
      </c>
      <c r="CD11" s="32">
        <f t="shared" si="2"/>
        <v>0</v>
      </c>
      <c r="CE11" s="32">
        <f t="shared" si="2"/>
        <v>0</v>
      </c>
      <c r="CF11" s="32">
        <f t="shared" si="2"/>
        <v>0</v>
      </c>
      <c r="CG11" s="32">
        <f t="shared" si="2"/>
        <v>0</v>
      </c>
      <c r="CH11" s="32">
        <f t="shared" si="2"/>
        <v>0</v>
      </c>
      <c r="CI11" s="32">
        <f t="shared" si="2"/>
        <v>0</v>
      </c>
      <c r="CJ11" s="32">
        <f t="shared" si="2"/>
        <v>0</v>
      </c>
      <c r="CK11" s="32">
        <f t="shared" si="2"/>
        <v>0</v>
      </c>
      <c r="CL11" s="32">
        <f t="shared" si="2"/>
        <v>0</v>
      </c>
      <c r="CM11" s="32">
        <f t="shared" si="2"/>
        <v>0</v>
      </c>
      <c r="CN11" s="32">
        <f t="shared" si="2"/>
        <v>0</v>
      </c>
      <c r="CO11" s="32">
        <f t="shared" si="2"/>
        <v>0</v>
      </c>
      <c r="CP11" s="32">
        <f t="shared" si="2"/>
        <v>0</v>
      </c>
      <c r="CQ11" s="32">
        <f t="shared" si="2"/>
        <v>0</v>
      </c>
      <c r="CR11" s="32">
        <f t="shared" si="2"/>
        <v>0</v>
      </c>
      <c r="CS11" s="32">
        <f t="shared" si="2"/>
        <v>0</v>
      </c>
      <c r="CT11" s="32">
        <f t="shared" si="2"/>
        <v>0</v>
      </c>
      <c r="CU11" s="32">
        <f t="shared" si="2"/>
        <v>0</v>
      </c>
      <c r="CV11" s="32">
        <f t="shared" si="2"/>
        <v>0</v>
      </c>
      <c r="CW11" s="32">
        <f t="shared" si="2"/>
        <v>0</v>
      </c>
      <c r="CX11" s="32">
        <f t="shared" si="2"/>
        <v>0</v>
      </c>
      <c r="CY11" s="32">
        <f t="shared" si="2"/>
        <v>0</v>
      </c>
      <c r="CZ11" s="32">
        <f t="shared" si="2"/>
        <v>0</v>
      </c>
      <c r="DA11" s="32">
        <f t="shared" si="2"/>
        <v>0</v>
      </c>
      <c r="DB11" s="32">
        <f t="shared" si="2"/>
        <v>0</v>
      </c>
      <c r="DC11" s="32">
        <f t="shared" si="2"/>
        <v>0</v>
      </c>
      <c r="DD11" s="32">
        <f t="shared" si="2"/>
        <v>0</v>
      </c>
      <c r="DE11" s="32">
        <f t="shared" si="2"/>
        <v>0</v>
      </c>
      <c r="DF11" s="32">
        <f t="shared" si="2"/>
        <v>0</v>
      </c>
      <c r="DG11" s="32">
        <f t="shared" si="2"/>
        <v>0</v>
      </c>
      <c r="DH11" s="32">
        <f t="shared" si="2"/>
        <v>0</v>
      </c>
      <c r="DI11" s="32">
        <f t="shared" si="2"/>
        <v>0</v>
      </c>
      <c r="DJ11" s="32">
        <f t="shared" si="2"/>
        <v>0</v>
      </c>
      <c r="DK11" s="32">
        <f t="shared" si="2"/>
        <v>0</v>
      </c>
      <c r="DL11" s="32">
        <f t="shared" si="2"/>
        <v>0</v>
      </c>
      <c r="DM11" s="32">
        <f t="shared" si="2"/>
        <v>0</v>
      </c>
      <c r="DN11" s="32">
        <f t="shared" si="2"/>
        <v>0</v>
      </c>
      <c r="DO11" s="32">
        <f t="shared" si="2"/>
        <v>0</v>
      </c>
      <c r="DP11" s="32">
        <f t="shared" si="2"/>
        <v>0</v>
      </c>
      <c r="DQ11" s="32">
        <f t="shared" si="2"/>
        <v>0</v>
      </c>
      <c r="DR11" s="32">
        <f t="shared" si="2"/>
        <v>0</v>
      </c>
      <c r="DS11" s="32">
        <f t="shared" si="2"/>
        <v>0</v>
      </c>
      <c r="DT11" s="32">
        <f t="shared" si="2"/>
        <v>0</v>
      </c>
      <c r="DU11" s="32">
        <f t="shared" si="2"/>
        <v>0</v>
      </c>
      <c r="DV11" s="32">
        <f t="shared" si="2"/>
        <v>0</v>
      </c>
      <c r="DW11" s="32">
        <f t="shared" si="2"/>
        <v>0</v>
      </c>
      <c r="DX11" s="32">
        <f t="shared" si="2"/>
        <v>0</v>
      </c>
      <c r="DY11" s="32">
        <f t="shared" si="2"/>
        <v>0</v>
      </c>
      <c r="DZ11" s="32">
        <f t="shared" si="2"/>
        <v>0</v>
      </c>
      <c r="EA11" s="32">
        <f t="shared" si="2"/>
        <v>0</v>
      </c>
      <c r="EB11" s="32">
        <f t="shared" ref="EB11:GC11" si="3">EB9-EB8</f>
        <v>0</v>
      </c>
      <c r="EC11" s="32">
        <f t="shared" si="3"/>
        <v>0</v>
      </c>
      <c r="ED11" s="32">
        <f t="shared" si="3"/>
        <v>0</v>
      </c>
      <c r="EE11" s="32">
        <f t="shared" si="3"/>
        <v>0</v>
      </c>
      <c r="EF11" s="32">
        <f t="shared" si="3"/>
        <v>0</v>
      </c>
      <c r="EG11" s="32">
        <f t="shared" si="3"/>
        <v>0</v>
      </c>
      <c r="EH11" s="32">
        <f t="shared" si="3"/>
        <v>0</v>
      </c>
      <c r="EI11" s="32">
        <f t="shared" si="3"/>
        <v>0</v>
      </c>
      <c r="EJ11" s="32">
        <f t="shared" si="3"/>
        <v>0</v>
      </c>
      <c r="EK11" s="32">
        <f t="shared" si="3"/>
        <v>0</v>
      </c>
      <c r="EL11" s="32">
        <f t="shared" si="3"/>
        <v>0</v>
      </c>
      <c r="EM11" s="32">
        <f t="shared" si="3"/>
        <v>0</v>
      </c>
      <c r="EN11" s="32">
        <f t="shared" si="3"/>
        <v>0</v>
      </c>
      <c r="EO11" s="32">
        <f t="shared" si="3"/>
        <v>0</v>
      </c>
      <c r="EP11" s="32">
        <f t="shared" si="3"/>
        <v>0</v>
      </c>
      <c r="EQ11" s="32">
        <f t="shared" si="3"/>
        <v>0</v>
      </c>
      <c r="ER11" s="32">
        <f t="shared" si="3"/>
        <v>0</v>
      </c>
      <c r="ES11" s="32">
        <f t="shared" si="3"/>
        <v>0</v>
      </c>
      <c r="ET11" s="32">
        <f t="shared" si="3"/>
        <v>0</v>
      </c>
      <c r="EU11" s="32">
        <f t="shared" si="3"/>
        <v>0</v>
      </c>
      <c r="EV11" s="32">
        <f t="shared" si="3"/>
        <v>0</v>
      </c>
      <c r="EW11" s="32">
        <f t="shared" si="3"/>
        <v>0</v>
      </c>
      <c r="EX11" s="32">
        <f t="shared" si="3"/>
        <v>0</v>
      </c>
      <c r="EY11" s="32">
        <f t="shared" si="3"/>
        <v>0</v>
      </c>
      <c r="EZ11" s="32">
        <f t="shared" si="3"/>
        <v>0</v>
      </c>
      <c r="FA11" s="32">
        <f t="shared" si="3"/>
        <v>0</v>
      </c>
      <c r="FB11" s="32">
        <f t="shared" si="3"/>
        <v>0</v>
      </c>
      <c r="FC11" s="32">
        <f t="shared" si="3"/>
        <v>0</v>
      </c>
      <c r="FD11" s="32">
        <f t="shared" si="3"/>
        <v>0</v>
      </c>
      <c r="FE11" s="32">
        <f t="shared" si="3"/>
        <v>0</v>
      </c>
      <c r="FF11" s="32">
        <f t="shared" si="3"/>
        <v>0</v>
      </c>
      <c r="FG11" s="32">
        <f t="shared" si="3"/>
        <v>0</v>
      </c>
      <c r="FH11" s="32">
        <f t="shared" si="3"/>
        <v>0</v>
      </c>
      <c r="FI11" s="32">
        <f t="shared" si="3"/>
        <v>0</v>
      </c>
      <c r="FJ11" s="32">
        <f t="shared" si="3"/>
        <v>0</v>
      </c>
      <c r="FK11" s="32">
        <f t="shared" si="3"/>
        <v>0</v>
      </c>
      <c r="FL11" s="32">
        <f t="shared" si="3"/>
        <v>0</v>
      </c>
      <c r="FM11" s="32">
        <f t="shared" si="3"/>
        <v>0</v>
      </c>
      <c r="FN11" s="32">
        <f t="shared" si="3"/>
        <v>0</v>
      </c>
      <c r="FO11" s="32">
        <f t="shared" si="3"/>
        <v>0</v>
      </c>
      <c r="FP11" s="32">
        <f t="shared" si="3"/>
        <v>0</v>
      </c>
      <c r="FQ11" s="32">
        <f t="shared" si="3"/>
        <v>0</v>
      </c>
      <c r="FR11" s="32">
        <f t="shared" si="3"/>
        <v>0</v>
      </c>
      <c r="FS11" s="32">
        <f t="shared" si="3"/>
        <v>0</v>
      </c>
      <c r="FT11" s="32">
        <f t="shared" si="3"/>
        <v>0</v>
      </c>
      <c r="FU11" s="32">
        <f t="shared" si="3"/>
        <v>0</v>
      </c>
      <c r="FV11" s="32">
        <f t="shared" si="3"/>
        <v>0</v>
      </c>
      <c r="FW11" s="32">
        <f t="shared" si="3"/>
        <v>0</v>
      </c>
      <c r="FX11" s="32">
        <f t="shared" si="3"/>
        <v>0</v>
      </c>
      <c r="FY11" s="32">
        <f t="shared" si="3"/>
        <v>0</v>
      </c>
      <c r="FZ11" s="32">
        <f t="shared" si="3"/>
        <v>0</v>
      </c>
      <c r="GA11" s="32">
        <f t="shared" si="3"/>
        <v>0</v>
      </c>
      <c r="GB11" s="32">
        <f t="shared" si="3"/>
        <v>0</v>
      </c>
      <c r="GC11" s="32">
        <f t="shared" si="3"/>
        <v>0</v>
      </c>
    </row>
    <row r="12" spans="1:185" s="33" customFormat="1" x14ac:dyDescent="0.25">
      <c r="A12" s="31"/>
      <c r="B12" s="31" t="s">
        <v>29</v>
      </c>
      <c r="C12" s="32">
        <f>C9-SUM(C13:C113)</f>
        <v>18000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</row>
    <row r="13" spans="1:185" x14ac:dyDescent="0.25">
      <c r="B13" s="20">
        <v>45857</v>
      </c>
      <c r="C13" s="21"/>
    </row>
    <row r="14" spans="1:185" x14ac:dyDescent="0.25">
      <c r="B14" s="20"/>
    </row>
    <row r="15" spans="1:185" x14ac:dyDescent="0.25">
      <c r="B15" s="20"/>
    </row>
    <row r="16" spans="1:185" x14ac:dyDescent="0.25">
      <c r="B16" s="20"/>
    </row>
    <row r="17" spans="2:3" x14ac:dyDescent="0.25">
      <c r="B17" s="20"/>
    </row>
    <row r="18" spans="2:3" x14ac:dyDescent="0.25">
      <c r="B18" s="20"/>
    </row>
    <row r="19" spans="2:3" x14ac:dyDescent="0.25">
      <c r="B19" s="20"/>
      <c r="C19">
        <v>3000</v>
      </c>
    </row>
    <row r="20" spans="2:3" x14ac:dyDescent="0.25">
      <c r="B20" s="20"/>
    </row>
    <row r="21" spans="2:3" x14ac:dyDescent="0.25">
      <c r="B21" s="20"/>
    </row>
    <row r="22" spans="2:3" x14ac:dyDescent="0.25">
      <c r="B22" s="20"/>
    </row>
    <row r="23" spans="2:3" x14ac:dyDescent="0.25">
      <c r="B23" s="20"/>
    </row>
    <row r="24" spans="2:3" x14ac:dyDescent="0.25">
      <c r="B24" s="20"/>
    </row>
    <row r="25" spans="2:3" x14ac:dyDescent="0.25">
      <c r="B25" s="20"/>
    </row>
    <row r="26" spans="2:3" x14ac:dyDescent="0.25">
      <c r="B26" s="20"/>
      <c r="C26">
        <v>3000</v>
      </c>
    </row>
    <row r="27" spans="2:3" x14ac:dyDescent="0.25">
      <c r="B27" s="20"/>
    </row>
    <row r="28" spans="2:3" x14ac:dyDescent="0.25">
      <c r="B28" s="20"/>
    </row>
    <row r="29" spans="2:3" x14ac:dyDescent="0.25">
      <c r="B29" s="20"/>
    </row>
    <row r="30" spans="2:3" x14ac:dyDescent="0.25">
      <c r="B30" s="20"/>
    </row>
    <row r="31" spans="2:3" x14ac:dyDescent="0.25">
      <c r="B31" s="20"/>
    </row>
    <row r="32" spans="2:3" x14ac:dyDescent="0.25">
      <c r="B32" s="20"/>
    </row>
    <row r="33" spans="2:2" x14ac:dyDescent="0.25">
      <c r="B33" s="20"/>
    </row>
    <row r="34" spans="2:2" x14ac:dyDescent="0.25">
      <c r="B34" s="20"/>
    </row>
    <row r="35" spans="2:2" x14ac:dyDescent="0.25">
      <c r="B35" s="20"/>
    </row>
    <row r="36" spans="2:2" x14ac:dyDescent="0.25">
      <c r="B36" s="20"/>
    </row>
    <row r="37" spans="2:2" x14ac:dyDescent="0.25">
      <c r="B37" s="20"/>
    </row>
    <row r="38" spans="2:2" x14ac:dyDescent="0.25">
      <c r="B38" s="20"/>
    </row>
    <row r="39" spans="2:2" x14ac:dyDescent="0.25">
      <c r="B39" s="20"/>
    </row>
    <row r="40" spans="2:2" x14ac:dyDescent="0.25">
      <c r="B40" s="20"/>
    </row>
    <row r="41" spans="2:2" x14ac:dyDescent="0.25">
      <c r="B41" s="20"/>
    </row>
    <row r="42" spans="2:2" x14ac:dyDescent="0.25">
      <c r="B42" s="20"/>
    </row>
    <row r="43" spans="2:2" x14ac:dyDescent="0.25">
      <c r="B43" s="20"/>
    </row>
    <row r="44" spans="2:2" x14ac:dyDescent="0.25">
      <c r="B44" s="20"/>
    </row>
    <row r="45" spans="2:2" x14ac:dyDescent="0.25">
      <c r="B45" s="20"/>
    </row>
    <row r="46" spans="2:2" x14ac:dyDescent="0.25">
      <c r="B46" s="20"/>
    </row>
    <row r="47" spans="2:2" x14ac:dyDescent="0.25">
      <c r="B47" s="20"/>
    </row>
    <row r="48" spans="2:2" x14ac:dyDescent="0.25">
      <c r="B48" s="20"/>
    </row>
    <row r="49" spans="2:2" x14ac:dyDescent="0.25">
      <c r="B49" s="20"/>
    </row>
    <row r="50" spans="2:2" x14ac:dyDescent="0.25">
      <c r="B50" s="20"/>
    </row>
    <row r="51" spans="2:2" x14ac:dyDescent="0.25">
      <c r="B51" s="20"/>
    </row>
    <row r="52" spans="2:2" x14ac:dyDescent="0.25">
      <c r="B52" s="20"/>
    </row>
    <row r="53" spans="2:2" x14ac:dyDescent="0.25">
      <c r="B53" s="20"/>
    </row>
    <row r="54" spans="2:2" x14ac:dyDescent="0.25">
      <c r="B54" s="20"/>
    </row>
    <row r="55" spans="2:2" x14ac:dyDescent="0.25">
      <c r="B55" s="20"/>
    </row>
    <row r="56" spans="2:2" x14ac:dyDescent="0.25">
      <c r="B56" s="20"/>
    </row>
    <row r="57" spans="2:2" x14ac:dyDescent="0.25">
      <c r="B57" s="20"/>
    </row>
    <row r="58" spans="2:2" x14ac:dyDescent="0.25">
      <c r="B58" s="20"/>
    </row>
    <row r="59" spans="2:2" x14ac:dyDescent="0.25">
      <c r="B59" s="20"/>
    </row>
    <row r="60" spans="2:2" x14ac:dyDescent="0.25">
      <c r="B60" s="20"/>
    </row>
    <row r="61" spans="2:2" x14ac:dyDescent="0.25">
      <c r="B61" s="20"/>
    </row>
    <row r="62" spans="2:2" x14ac:dyDescent="0.25">
      <c r="B62" s="20"/>
    </row>
    <row r="63" spans="2:2" x14ac:dyDescent="0.25">
      <c r="B63" s="20"/>
    </row>
    <row r="64" spans="2:2" x14ac:dyDescent="0.25">
      <c r="B64" s="20"/>
    </row>
    <row r="65" spans="2:2" x14ac:dyDescent="0.25">
      <c r="B65" s="20"/>
    </row>
    <row r="66" spans="2:2" x14ac:dyDescent="0.25">
      <c r="B66" s="20"/>
    </row>
    <row r="67" spans="2:2" x14ac:dyDescent="0.25">
      <c r="B67" s="20"/>
    </row>
    <row r="68" spans="2:2" x14ac:dyDescent="0.25">
      <c r="B68" s="20"/>
    </row>
    <row r="69" spans="2:2" x14ac:dyDescent="0.25">
      <c r="B69" s="20"/>
    </row>
    <row r="70" spans="2:2" x14ac:dyDescent="0.25">
      <c r="B70" s="20"/>
    </row>
    <row r="71" spans="2:2" x14ac:dyDescent="0.25">
      <c r="B71" s="20"/>
    </row>
    <row r="72" spans="2:2" x14ac:dyDescent="0.25">
      <c r="B72" s="20"/>
    </row>
    <row r="73" spans="2:2" x14ac:dyDescent="0.25">
      <c r="B73" s="20"/>
    </row>
    <row r="74" spans="2:2" x14ac:dyDescent="0.25">
      <c r="B74" s="20"/>
    </row>
    <row r="75" spans="2:2" x14ac:dyDescent="0.25">
      <c r="B75" s="20"/>
    </row>
    <row r="76" spans="2:2" x14ac:dyDescent="0.25">
      <c r="B76" s="20"/>
    </row>
    <row r="77" spans="2:2" x14ac:dyDescent="0.25">
      <c r="B77" s="20"/>
    </row>
    <row r="78" spans="2:2" x14ac:dyDescent="0.25">
      <c r="B78" s="20"/>
    </row>
    <row r="79" spans="2:2" x14ac:dyDescent="0.25">
      <c r="B79" s="20"/>
    </row>
    <row r="80" spans="2:2" x14ac:dyDescent="0.25">
      <c r="B80" s="20"/>
    </row>
    <row r="81" spans="2:2" x14ac:dyDescent="0.25">
      <c r="B81" s="20"/>
    </row>
    <row r="82" spans="2:2" x14ac:dyDescent="0.25">
      <c r="B82" s="20"/>
    </row>
    <row r="83" spans="2:2" x14ac:dyDescent="0.25">
      <c r="B83" s="20"/>
    </row>
    <row r="84" spans="2:2" x14ac:dyDescent="0.25">
      <c r="B84" s="20"/>
    </row>
    <row r="85" spans="2:2" x14ac:dyDescent="0.25">
      <c r="B85" s="20"/>
    </row>
    <row r="86" spans="2:2" x14ac:dyDescent="0.25">
      <c r="B86" s="20"/>
    </row>
  </sheetData>
  <conditionalFormatting sqref="A1:XFD1048576">
    <cfRule type="expression" dxfId="0" priority="1">
      <formula>MOD(COLUMN(),2)=0</formula>
    </cfRule>
  </conditionalFormatting>
  <dataValidations count="4">
    <dataValidation type="list" allowBlank="1" showInputMessage="1" showErrorMessage="1" sqref="C7:M7">
      <formula1>"Daily,Weekly"</formula1>
    </dataValidation>
    <dataValidation type="list" allowBlank="1" showInputMessage="1" showErrorMessage="1" sqref="C8:M8">
      <formula1>"10000,15000,20000,25000,30000,35000,40000,45000,50000,55000,60000,65000,70000,75000,80000,85000,90000,95000,100000"</formula1>
    </dataValidation>
    <dataValidation type="list" allowBlank="1" showInputMessage="1" showErrorMessage="1" sqref="H6">
      <formula1>"8,60"</formula1>
    </dataValidation>
    <dataValidation type="list" allowBlank="1" showInputMessage="1" showErrorMessage="1" sqref="C10:BM10">
      <formula1>"5%,6%,7%,8%,9%,10%"</formula1>
    </dataValidation>
  </dataValidation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Summery</vt:lpstr>
      <vt:lpstr>Month</vt:lpstr>
      <vt:lpstr>Daily</vt:lpstr>
      <vt:lpstr>Weekly</vt:lpstr>
      <vt:lpstr>Expences &amp; Other Income</vt:lpstr>
      <vt:lpstr>Profits</vt:lpstr>
      <vt:lpstr>Bank Account</vt:lpstr>
      <vt:lpstr>cash 2025.09.04</vt:lpstr>
      <vt:lpstr>Capital Edited</vt:lpstr>
      <vt:lpstr>Creditors</vt:lpstr>
      <vt:lpstr>Debtors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2026-05-03T09:00:02Z</dcterms:modified>
</cp:coreProperties>
</file>